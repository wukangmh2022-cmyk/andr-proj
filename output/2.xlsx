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10580"/>
  </bookViews>
  <sheets>
    <sheet name="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<sst xmlns="http://schemas.openxmlformats.org/spreadsheetml/2006/main" count="427" uniqueCount="53">
  <si>
    <t>交易对</t>
  </si>
  <si>
    <t>方向</t>
  </si>
  <si>
    <t>名义杠杆</t>
  </si>
  <si>
    <t>开仓时间</t>
  </si>
  <si>
    <t>开仓均价</t>
  </si>
  <si>
    <t>平仓均价</t>
  </si>
  <si>
    <t>收益率</t>
  </si>
  <si>
    <t>收益</t>
  </si>
  <si>
    <t>累计收益</t>
  </si>
  <si>
    <t>实际杠杆</t>
  </si>
  <si>
    <t>当前回撤</t>
  </si>
  <si>
    <t>价格波幅</t>
  </si>
  <si>
    <t>收益增幅</t>
  </si>
  <si>
    <t>JUP-USDT-SWAP</t>
  </si>
  <si>
    <t>多</t>
  </si>
  <si>
    <t>WIF-USDT-SWAP</t>
  </si>
  <si>
    <t>空</t>
  </si>
  <si>
    <t>ETH-USDT-SWAP</t>
  </si>
  <si>
    <t>BONK-USDT-SWAP</t>
  </si>
  <si>
    <t>BOME-USDT-SWAP</t>
  </si>
  <si>
    <t>ETH-USDT-250606</t>
  </si>
  <si>
    <t>ETH-USDT-250926</t>
  </si>
  <si>
    <t>TAO-USDT-SWAP</t>
  </si>
  <si>
    <t>COMP-USDT-SWAP</t>
  </si>
  <si>
    <t>AAVE-USDT-SWAP</t>
  </si>
  <si>
    <t>ENS-USDT-SWAP</t>
  </si>
  <si>
    <t>HYPE-USDT-SWAP</t>
  </si>
  <si>
    <t>MOODENG-USDT-SWAP</t>
  </si>
  <si>
    <t>PNUT-USDT-SWAP</t>
  </si>
  <si>
    <t>PEOPLE-USDT-SWAP</t>
  </si>
  <si>
    <t>AIXBT-USDT-SWAP</t>
  </si>
  <si>
    <t>BTC-USDT-SWAP</t>
  </si>
  <si>
    <t>SUSHI-USDT-SWAP</t>
  </si>
  <si>
    <t>CFX-USDT-SWAP</t>
  </si>
  <si>
    <t>ETH-USDT-251226</t>
  </si>
  <si>
    <t>DOGE-USDT-SWAP</t>
  </si>
  <si>
    <t>SOL-USDT-SWAP</t>
  </si>
  <si>
    <t>PENGU-USDT-SWAP</t>
  </si>
  <si>
    <t>LTC-USDT-SWAP</t>
  </si>
  <si>
    <t>ARB-USDT-SWAP</t>
  </si>
  <si>
    <t>WLFI-USDT-SWAP</t>
  </si>
  <si>
    <t>YGG-USDT-SWAP</t>
  </si>
  <si>
    <t>XPL-USDT-SWAP</t>
  </si>
  <si>
    <t>ASTER-USDT-SWAP</t>
  </si>
  <si>
    <t>AVAX-USDT-SWAP</t>
  </si>
  <si>
    <t>BNB-USDT-SWAP</t>
  </si>
  <si>
    <t>OKB-USDT-SWAP</t>
  </si>
  <si>
    <t>PEPE-USDT-SWAP</t>
  </si>
  <si>
    <t>BIO-USDT-SWAP</t>
  </si>
  <si>
    <t>ETH-USDT-260327</t>
  </si>
  <si>
    <t>GIGGLE-USDT-SWAP</t>
  </si>
  <si>
    <t>AR-USDT-SWAP</t>
  </si>
  <si>
    <t>ZEC-USDT-SWAP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</si>
</sst>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0.00_ "/>
    <numFmt numFmtId="180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22" fontId="0" fillId="0" borderId="0" xfId="0" applyNumberFormat="1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8"/>
  <sheetViews>
    <sheetView tabSelected="1" zoomScaleSheetLayoutView="60" workbookViewId="0">
      <pane ySplit="1" topLeftCell="A2" activePane="bottomLeft" state="frozen"/>
      <selection/>
      <selection pane="bottomLeft" activeCell="J97" sqref="J97"/>
    </sheetView>
  </sheetViews>
  <sheetFormatPr defaultColWidth="10.3846153846154" defaultRowHeight="16.8"/>
  <cols>
    <col min="4" max="4" width="16.5384615384615"/>
    <col min="9" max="9" width="10.6923076923077"/>
    <col min="10" max="11" width="12.9230769230769"/>
    <col min="12" max="12" width="20.3557692307692" customWidth="1"/>
    <col min="13" max="13" width="16.663461538461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10</v>
      </c>
      <c r="D2" s="1">
        <v>45800.4555555556</v>
      </c>
      <c r="E2">
        <v>0.6155</v>
      </c>
      <c r="F2">
        <v>0.6111</v>
      </c>
      <c r="G2" s="2">
        <v>-0.0715</v>
      </c>
      <c r="H2">
        <v>-180</v>
      </c>
      <c r="I2">
        <f>H2</f>
        <v>-180</v>
      </c>
      <c r="J2" s="4">
        <f>ABS(H2/L2)/(I2+10000)</f>
        <v>2.56410849842618</v>
      </c>
      <c r="K2" s="5">
        <f>1-(10000+I2)/(MAX(0)+10000)</f>
        <v>0.018</v>
      </c>
      <c r="L2" s="2">
        <f>F2/E2-1</f>
        <v>-0.00714865962632016</v>
      </c>
      <c r="M2" s="5">
        <f>H2/10000</f>
        <v>-0.018</v>
      </c>
    </row>
    <row r="3" spans="1:13">
      <c r="A3" t="s">
        <v>15</v>
      </c>
      <c r="B3" t="s">
        <v>16</v>
      </c>
      <c r="C3">
        <v>10</v>
      </c>
      <c r="D3" s="1">
        <v>45800.5354166667</v>
      </c>
      <c r="E3">
        <v>1.3291</v>
      </c>
      <c r="F3">
        <v>1.2905</v>
      </c>
      <c r="G3" s="2">
        <v>0.2903</v>
      </c>
      <c r="H3">
        <v>386</v>
      </c>
      <c r="I3">
        <f>I2+H3</f>
        <v>206</v>
      </c>
      <c r="J3" s="4">
        <f t="shared" ref="J3:J23" si="0">ABS(H3/L3)/(I3+10000)</f>
        <v>1.30227317264354</v>
      </c>
      <c r="K3" s="5">
        <f>1-(10000+I3)/(MAX(I$2:I3)+10000)</f>
        <v>0</v>
      </c>
      <c r="L3" s="2">
        <f t="shared" ref="L3:L10" si="1">F3/E3-1</f>
        <v>-0.0290422090136182</v>
      </c>
      <c r="M3" s="5">
        <f>H3/(10000+I2)</f>
        <v>0.0393075356415479</v>
      </c>
    </row>
    <row r="4" spans="1:13">
      <c r="A4" t="s">
        <v>15</v>
      </c>
      <c r="B4" t="s">
        <v>16</v>
      </c>
      <c r="C4">
        <v>10</v>
      </c>
      <c r="D4" s="1">
        <v>45800.6118055556</v>
      </c>
      <c r="E4">
        <v>1.2348</v>
      </c>
      <c r="F4">
        <v>1.2001</v>
      </c>
      <c r="G4" s="2">
        <v>0.2817</v>
      </c>
      <c r="H4">
        <v>870</v>
      </c>
      <c r="I4">
        <f>I3+H4</f>
        <v>1076</v>
      </c>
      <c r="J4" s="4">
        <f t="shared" si="0"/>
        <v>2.79513926833</v>
      </c>
      <c r="K4" s="5">
        <f>1-(10000+I4)/(MAX(I$2:I4)+10000)</f>
        <v>0</v>
      </c>
      <c r="L4" s="2">
        <f t="shared" si="1"/>
        <v>-0.0281017168772271</v>
      </c>
      <c r="M4" s="5">
        <f t="shared" ref="M4:M67" si="2">H4/(10000+I3)</f>
        <v>0.085243974132863</v>
      </c>
    </row>
    <row r="5" spans="1:13">
      <c r="A5" t="s">
        <v>15</v>
      </c>
      <c r="B5" t="s">
        <v>16</v>
      </c>
      <c r="C5">
        <v>10</v>
      </c>
      <c r="D5" s="1">
        <v>45801.6638888889</v>
      </c>
      <c r="E5">
        <v>1.1107</v>
      </c>
      <c r="F5">
        <v>1.1048</v>
      </c>
      <c r="G5" s="2">
        <v>0.0532</v>
      </c>
      <c r="H5">
        <v>59</v>
      </c>
      <c r="I5">
        <f t="shared" ref="I5:I36" si="3">I4+H5</f>
        <v>1135</v>
      </c>
      <c r="J5" s="4">
        <f t="shared" si="0"/>
        <v>0.997485406376279</v>
      </c>
      <c r="K5" s="5">
        <f>1-(10000+I5)/(MAX(I$2:I5)+10000)</f>
        <v>0</v>
      </c>
      <c r="L5" s="2">
        <f t="shared" si="1"/>
        <v>-0.00531196542720813</v>
      </c>
      <c r="M5" s="5">
        <f t="shared" si="2"/>
        <v>0.00532683279162152</v>
      </c>
    </row>
    <row r="6" spans="1:13">
      <c r="A6" t="s">
        <v>17</v>
      </c>
      <c r="B6" t="s">
        <v>14</v>
      </c>
      <c r="C6">
        <v>10</v>
      </c>
      <c r="D6" s="1">
        <v>45801.7833333333</v>
      </c>
      <c r="E6">
        <v>2570</v>
      </c>
      <c r="F6">
        <v>2547.36</v>
      </c>
      <c r="G6" s="2">
        <v>-0.0881</v>
      </c>
      <c r="H6">
        <v>-260</v>
      </c>
      <c r="I6">
        <f t="shared" si="3"/>
        <v>875</v>
      </c>
      <c r="J6" s="4">
        <f t="shared" si="0"/>
        <v>2.71394338166606</v>
      </c>
      <c r="K6" s="5">
        <f>1-(10000+I6)/(MAX(I$2:I6)+10000)</f>
        <v>0.0233497979344409</v>
      </c>
      <c r="L6" s="2">
        <f t="shared" si="1"/>
        <v>-0.00880933852140076</v>
      </c>
      <c r="M6" s="5">
        <f t="shared" si="2"/>
        <v>-0.023349797934441</v>
      </c>
    </row>
    <row r="7" spans="1:13">
      <c r="A7" t="s">
        <v>15</v>
      </c>
      <c r="B7" t="s">
        <v>16</v>
      </c>
      <c r="C7">
        <v>10</v>
      </c>
      <c r="D7" s="1">
        <v>45802.6375</v>
      </c>
      <c r="E7">
        <v>1.0753</v>
      </c>
      <c r="F7">
        <v>1.0307</v>
      </c>
      <c r="G7" s="2">
        <v>0.415</v>
      </c>
      <c r="H7">
        <v>446</v>
      </c>
      <c r="I7">
        <f t="shared" si="3"/>
        <v>1321</v>
      </c>
      <c r="J7" s="4">
        <f t="shared" si="0"/>
        <v>0.949827753732002</v>
      </c>
      <c r="K7" s="5">
        <f>1-(10000+I7)/(MAX(I$2:I7)+10000)</f>
        <v>0</v>
      </c>
      <c r="L7" s="2">
        <f t="shared" si="1"/>
        <v>-0.041476797172882</v>
      </c>
      <c r="M7" s="5">
        <f t="shared" si="2"/>
        <v>0.0410114942528736</v>
      </c>
    </row>
    <row r="8" spans="1:13">
      <c r="A8" t="s">
        <v>18</v>
      </c>
      <c r="B8" t="s">
        <v>16</v>
      </c>
      <c r="C8">
        <v>10</v>
      </c>
      <c r="D8" s="1">
        <v>45802.7083333333</v>
      </c>
      <c r="E8">
        <v>1.994e-5</v>
      </c>
      <c r="F8">
        <v>1.942e-5</v>
      </c>
      <c r="G8" s="2">
        <v>0.2608</v>
      </c>
      <c r="H8">
        <v>312</v>
      </c>
      <c r="I8">
        <f t="shared" si="3"/>
        <v>1633</v>
      </c>
      <c r="J8" s="4">
        <f t="shared" si="0"/>
        <v>1.02845353735064</v>
      </c>
      <c r="K8" s="5">
        <f>1-(10000+I8)/(MAX(I$2:I8)+10000)</f>
        <v>0</v>
      </c>
      <c r="L8" s="2">
        <f t="shared" si="1"/>
        <v>-0.0260782347041123</v>
      </c>
      <c r="M8" s="5">
        <f t="shared" si="2"/>
        <v>0.0275594028796043</v>
      </c>
    </row>
    <row r="9" spans="1:13">
      <c r="A9" t="s">
        <v>19</v>
      </c>
      <c r="B9" t="s">
        <v>16</v>
      </c>
      <c r="C9">
        <v>9</v>
      </c>
      <c r="D9" s="1">
        <v>45802.7423611111</v>
      </c>
      <c r="E9">
        <v>0.002207</v>
      </c>
      <c r="F9">
        <v>0.002134</v>
      </c>
      <c r="G9" s="2">
        <v>0.2977</v>
      </c>
      <c r="H9">
        <v>365</v>
      </c>
      <c r="I9">
        <f t="shared" si="3"/>
        <v>1998</v>
      </c>
      <c r="J9" s="4">
        <f t="shared" si="0"/>
        <v>0.919736622770461</v>
      </c>
      <c r="K9" s="5">
        <f>1-(10000+I9)/(MAX(I$2:I9)+10000)</f>
        <v>0</v>
      </c>
      <c r="L9" s="2">
        <f t="shared" si="1"/>
        <v>-0.0330765745355687</v>
      </c>
      <c r="M9" s="5">
        <f t="shared" si="2"/>
        <v>0.0313762571993467</v>
      </c>
    </row>
    <row r="10" spans="1:13">
      <c r="A10" t="s">
        <v>15</v>
      </c>
      <c r="B10" t="s">
        <v>16</v>
      </c>
      <c r="C10">
        <v>10</v>
      </c>
      <c r="D10" s="1">
        <v>45803.0506944444</v>
      </c>
      <c r="E10">
        <v>1.1239</v>
      </c>
      <c r="F10">
        <v>1.1328</v>
      </c>
      <c r="G10" s="2">
        <v>-0.0801</v>
      </c>
      <c r="H10">
        <v>-180</v>
      </c>
      <c r="I10">
        <f t="shared" si="3"/>
        <v>1818</v>
      </c>
      <c r="J10" s="4">
        <f t="shared" si="0"/>
        <v>1.9233848195763</v>
      </c>
      <c r="K10" s="5">
        <f>1-(10000+I10)/(MAX(I$2:I10)+10000)</f>
        <v>0.0150025004167361</v>
      </c>
      <c r="L10" s="2">
        <f t="shared" si="1"/>
        <v>0.00791885399056858</v>
      </c>
      <c r="M10" s="5">
        <f t="shared" si="2"/>
        <v>-0.0150025004167361</v>
      </c>
    </row>
    <row r="11" spans="1:13">
      <c r="A11" t="s">
        <v>18</v>
      </c>
      <c r="B11" t="s">
        <v>16</v>
      </c>
      <c r="C11">
        <v>10</v>
      </c>
      <c r="D11" s="1">
        <v>45803.3715277778</v>
      </c>
      <c r="E11">
        <v>2.135e-5</v>
      </c>
      <c r="F11">
        <v>2.067e-5</v>
      </c>
      <c r="G11" s="2">
        <v>0.3186</v>
      </c>
      <c r="H11">
        <v>340</v>
      </c>
      <c r="I11">
        <f t="shared" si="3"/>
        <v>2158</v>
      </c>
      <c r="J11" s="4">
        <f t="shared" si="0"/>
        <v>0.878022701102156</v>
      </c>
      <c r="K11" s="5">
        <f>1-(10000+I11)/(MAX(I$2:I11)+10000)</f>
        <v>0</v>
      </c>
      <c r="L11" s="2">
        <f t="shared" ref="L11:L18" si="4">F11/E11-1</f>
        <v>-0.0318501170960187</v>
      </c>
      <c r="M11" s="5">
        <f t="shared" si="2"/>
        <v>0.0287696733795905</v>
      </c>
    </row>
    <row r="12" spans="1:13">
      <c r="A12" t="s">
        <v>19</v>
      </c>
      <c r="B12" t="s">
        <v>16</v>
      </c>
      <c r="C12">
        <v>9</v>
      </c>
      <c r="D12" s="1">
        <v>45803.4513888889</v>
      </c>
      <c r="E12">
        <v>0.002281</v>
      </c>
      <c r="F12">
        <v>0.00231</v>
      </c>
      <c r="G12" s="2">
        <v>-0.1151</v>
      </c>
      <c r="H12">
        <v>-292</v>
      </c>
      <c r="I12">
        <f t="shared" si="3"/>
        <v>1866</v>
      </c>
      <c r="J12" s="4">
        <f t="shared" si="0"/>
        <v>1.93555624008323</v>
      </c>
      <c r="K12" s="5">
        <f>1-(10000+I12)/(MAX(I$2:I12)+10000)</f>
        <v>0.0240171080769863</v>
      </c>
      <c r="L12" s="2">
        <f t="shared" si="4"/>
        <v>0.0127137220517317</v>
      </c>
      <c r="M12" s="5">
        <f t="shared" si="2"/>
        <v>-0.0240171080769863</v>
      </c>
    </row>
    <row r="13" spans="1:13">
      <c r="A13" t="s">
        <v>19</v>
      </c>
      <c r="B13" t="s">
        <v>16</v>
      </c>
      <c r="C13">
        <v>9</v>
      </c>
      <c r="D13" s="1">
        <v>45804.9506944444</v>
      </c>
      <c r="E13">
        <v>0.002315</v>
      </c>
      <c r="F13">
        <v>0.0023</v>
      </c>
      <c r="G13" s="2">
        <v>0.0584</v>
      </c>
      <c r="H13">
        <v>150</v>
      </c>
      <c r="I13">
        <f t="shared" si="3"/>
        <v>2016</v>
      </c>
      <c r="J13" s="4">
        <f t="shared" si="0"/>
        <v>1.92659786950735</v>
      </c>
      <c r="K13" s="5">
        <f>1-(10000+I13)/(MAX(I$2:I13)+10000)</f>
        <v>0.0116795525579865</v>
      </c>
      <c r="L13" s="2">
        <f t="shared" si="4"/>
        <v>-0.00647948164146861</v>
      </c>
      <c r="M13" s="5">
        <f t="shared" si="2"/>
        <v>0.0126411596157087</v>
      </c>
    </row>
    <row r="14" spans="1:13">
      <c r="A14" t="s">
        <v>18</v>
      </c>
      <c r="B14" t="s">
        <v>16</v>
      </c>
      <c r="C14">
        <v>10</v>
      </c>
      <c r="D14" s="1">
        <v>45804.9513888889</v>
      </c>
      <c r="E14">
        <v>2.071e-5</v>
      </c>
      <c r="F14">
        <v>1.994e-5</v>
      </c>
      <c r="G14" s="2">
        <v>0.3719</v>
      </c>
      <c r="H14">
        <v>770</v>
      </c>
      <c r="I14">
        <f t="shared" si="3"/>
        <v>2786</v>
      </c>
      <c r="J14" s="4">
        <f t="shared" si="0"/>
        <v>1.61974034099796</v>
      </c>
      <c r="K14" s="5">
        <f>1-(10000+I14)/(MAX(I$2:I14)+10000)</f>
        <v>0</v>
      </c>
      <c r="L14" s="2">
        <f t="shared" si="4"/>
        <v>-0.037180106228875</v>
      </c>
      <c r="M14" s="5">
        <f t="shared" si="2"/>
        <v>0.0640812250332889</v>
      </c>
    </row>
    <row r="15" spans="1:13">
      <c r="A15" t="s">
        <v>15</v>
      </c>
      <c r="B15" t="s">
        <v>16</v>
      </c>
      <c r="C15">
        <v>10</v>
      </c>
      <c r="D15" s="1">
        <v>45804.9513888889</v>
      </c>
      <c r="E15">
        <v>1.1191</v>
      </c>
      <c r="F15">
        <v>1.1078</v>
      </c>
      <c r="G15" s="2">
        <v>0.101</v>
      </c>
      <c r="H15">
        <v>226</v>
      </c>
      <c r="I15">
        <f t="shared" si="3"/>
        <v>3012</v>
      </c>
      <c r="J15" s="4">
        <f t="shared" si="0"/>
        <v>1.72010451890561</v>
      </c>
      <c r="K15" s="5">
        <f>1-(10000+I15)/(MAX(I$2:I15)+10000)</f>
        <v>0</v>
      </c>
      <c r="L15" s="2">
        <f t="shared" si="4"/>
        <v>-0.0100973996961845</v>
      </c>
      <c r="M15" s="5">
        <f t="shared" si="2"/>
        <v>0.0176755826685437</v>
      </c>
    </row>
    <row r="16" spans="1:13">
      <c r="A16" t="s">
        <v>20</v>
      </c>
      <c r="B16" t="s">
        <v>14</v>
      </c>
      <c r="C16">
        <v>20</v>
      </c>
      <c r="D16" s="1">
        <v>45806.04375</v>
      </c>
      <c r="E16">
        <v>2658.78</v>
      </c>
      <c r="F16">
        <v>2730.38</v>
      </c>
      <c r="G16" s="2">
        <v>0.5386</v>
      </c>
      <c r="H16">
        <v>854</v>
      </c>
      <c r="I16">
        <f t="shared" si="3"/>
        <v>3866</v>
      </c>
      <c r="J16" s="4">
        <f t="shared" si="0"/>
        <v>2.28705208753858</v>
      </c>
      <c r="K16" s="5">
        <f>1-(10000+I16)/(MAX(I$2:I16)+10000)</f>
        <v>0</v>
      </c>
      <c r="L16" s="2">
        <f t="shared" si="4"/>
        <v>0.0269296444233822</v>
      </c>
      <c r="M16" s="5">
        <f t="shared" si="2"/>
        <v>0.0656317245619428</v>
      </c>
    </row>
    <row r="17" spans="1:13">
      <c r="A17" t="s">
        <v>20</v>
      </c>
      <c r="B17" t="s">
        <v>14</v>
      </c>
      <c r="C17">
        <v>20</v>
      </c>
      <c r="D17" s="1">
        <v>45806.04375</v>
      </c>
      <c r="E17">
        <v>2658.78</v>
      </c>
      <c r="F17">
        <v>2730.38</v>
      </c>
      <c r="G17" s="2">
        <v>0.5386</v>
      </c>
      <c r="H17">
        <v>854</v>
      </c>
      <c r="I17">
        <f t="shared" si="3"/>
        <v>4720</v>
      </c>
      <c r="J17" s="4">
        <f t="shared" si="0"/>
        <v>2.15436577756861</v>
      </c>
      <c r="K17" s="5">
        <f>1-(10000+I17)/(MAX(I$2:I17)+10000)</f>
        <v>0</v>
      </c>
      <c r="L17" s="2">
        <f t="shared" si="4"/>
        <v>0.0269296444233822</v>
      </c>
      <c r="M17" s="5">
        <f t="shared" si="2"/>
        <v>0.061589499495168</v>
      </c>
    </row>
    <row r="18" spans="1:13">
      <c r="A18" t="s">
        <v>21</v>
      </c>
      <c r="B18" t="s">
        <v>14</v>
      </c>
      <c r="C18">
        <v>20</v>
      </c>
      <c r="D18" s="1">
        <v>45806.0520833333</v>
      </c>
      <c r="E18">
        <v>2716.91</v>
      </c>
      <c r="F18">
        <v>2782.9</v>
      </c>
      <c r="G18" s="2">
        <v>0.4859</v>
      </c>
      <c r="H18">
        <v>660</v>
      </c>
      <c r="I18">
        <f t="shared" si="3"/>
        <v>5380</v>
      </c>
      <c r="J18" s="4">
        <f t="shared" si="0"/>
        <v>1.76678915176295</v>
      </c>
      <c r="K18" s="5">
        <f>1-(10000+I18)/(MAX(I$2:I18)+10000)</f>
        <v>0</v>
      </c>
      <c r="L18" s="2">
        <f t="shared" si="4"/>
        <v>0.0242886220007288</v>
      </c>
      <c r="M18" s="5">
        <f t="shared" si="2"/>
        <v>0.0448369565217391</v>
      </c>
    </row>
    <row r="19" spans="1:13">
      <c r="A19" t="s">
        <v>22</v>
      </c>
      <c r="B19" t="s">
        <v>14</v>
      </c>
      <c r="C19">
        <v>10</v>
      </c>
      <c r="D19" s="1">
        <v>45808.6013888889</v>
      </c>
      <c r="E19">
        <v>408.8</v>
      </c>
      <c r="F19">
        <v>427.2</v>
      </c>
      <c r="G19" s="2">
        <v>0.4501</v>
      </c>
      <c r="H19">
        <v>1840</v>
      </c>
      <c r="I19">
        <f t="shared" si="3"/>
        <v>7220</v>
      </c>
      <c r="J19" s="4">
        <f t="shared" si="0"/>
        <v>2.3739837398374</v>
      </c>
      <c r="K19" s="5">
        <f>1-(10000+I19)/(MAX(I$2:I19)+10000)</f>
        <v>0</v>
      </c>
      <c r="L19" s="2">
        <f t="shared" ref="L19:L50" si="5">F19/E19-1</f>
        <v>0.0450097847358122</v>
      </c>
      <c r="M19" s="5">
        <f t="shared" si="2"/>
        <v>0.11963589076723</v>
      </c>
    </row>
    <row r="20" spans="1:13">
      <c r="A20" t="s">
        <v>17</v>
      </c>
      <c r="B20" t="s">
        <v>16</v>
      </c>
      <c r="C20">
        <v>10</v>
      </c>
      <c r="D20" s="1">
        <v>45808.8736111111</v>
      </c>
      <c r="E20">
        <v>2566</v>
      </c>
      <c r="F20">
        <v>2599.18</v>
      </c>
      <c r="G20" s="2">
        <v>-0.1294</v>
      </c>
      <c r="H20">
        <v>-996</v>
      </c>
      <c r="I20">
        <f t="shared" si="3"/>
        <v>6224</v>
      </c>
      <c r="J20" s="4">
        <f t="shared" si="0"/>
        <v>4.74768253492695</v>
      </c>
      <c r="K20" s="5">
        <f>1-(10000+I20)/(MAX(I$2:I20)+10000)</f>
        <v>0.0578397212543554</v>
      </c>
      <c r="L20" s="2">
        <f t="shared" si="5"/>
        <v>0.0129306313328137</v>
      </c>
      <c r="M20" s="5">
        <f t="shared" si="2"/>
        <v>-0.0578397212543554</v>
      </c>
    </row>
    <row r="21" spans="1:13">
      <c r="A21" t="s">
        <v>15</v>
      </c>
      <c r="B21" t="s">
        <v>16</v>
      </c>
      <c r="C21">
        <v>10</v>
      </c>
      <c r="D21" s="1">
        <v>45810.4881944444</v>
      </c>
      <c r="E21">
        <v>0.857</v>
      </c>
      <c r="F21">
        <v>0.8252</v>
      </c>
      <c r="G21" s="2">
        <v>0.3718</v>
      </c>
      <c r="H21">
        <v>1115</v>
      </c>
      <c r="I21">
        <f t="shared" si="3"/>
        <v>7339</v>
      </c>
      <c r="J21" s="4">
        <f t="shared" si="0"/>
        <v>1.73302378286344</v>
      </c>
      <c r="K21" s="5">
        <f>1-(10000+I21)/(MAX(I$2:I21)+10000)</f>
        <v>0</v>
      </c>
      <c r="L21" s="2">
        <f t="shared" si="5"/>
        <v>-0.0371061843640607</v>
      </c>
      <c r="M21" s="5">
        <f t="shared" si="2"/>
        <v>0.0687253451676529</v>
      </c>
    </row>
    <row r="22" spans="1:13">
      <c r="A22" t="s">
        <v>18</v>
      </c>
      <c r="B22" t="s">
        <v>16</v>
      </c>
      <c r="C22">
        <v>10</v>
      </c>
      <c r="D22" s="1">
        <v>45810.4881944444</v>
      </c>
      <c r="E22">
        <v>1.657e-5</v>
      </c>
      <c r="F22">
        <v>1.462e-5</v>
      </c>
      <c r="G22" s="2">
        <v>1.1769</v>
      </c>
      <c r="H22">
        <v>2925</v>
      </c>
      <c r="I22">
        <f t="shared" si="3"/>
        <v>10264</v>
      </c>
      <c r="J22" s="4">
        <f t="shared" si="0"/>
        <v>1.22655941571259</v>
      </c>
      <c r="K22" s="5">
        <f>1-(10000+I22)/(MAX(I$2:I22)+10000)</f>
        <v>0</v>
      </c>
      <c r="L22" s="2">
        <f t="shared" si="5"/>
        <v>-0.117682558841279</v>
      </c>
      <c r="M22" s="5">
        <f t="shared" si="2"/>
        <v>0.168694849760655</v>
      </c>
    </row>
    <row r="23" spans="1:13">
      <c r="A23" t="s">
        <v>19</v>
      </c>
      <c r="B23" t="s">
        <v>16</v>
      </c>
      <c r="C23">
        <v>9</v>
      </c>
      <c r="D23" s="1">
        <v>45812.4083333333</v>
      </c>
      <c r="E23">
        <v>0.001973</v>
      </c>
      <c r="F23">
        <v>0.001994</v>
      </c>
      <c r="G23" s="2">
        <v>-0.0958</v>
      </c>
      <c r="H23">
        <v>-126</v>
      </c>
      <c r="I23">
        <f t="shared" si="3"/>
        <v>10138</v>
      </c>
      <c r="J23" s="4">
        <f t="shared" si="0"/>
        <v>0.587843877246989</v>
      </c>
      <c r="K23" s="5">
        <f>1-(10000+I23)/(MAX(I$2:I23)+10000)</f>
        <v>0.00621792341097516</v>
      </c>
      <c r="L23" s="2">
        <f t="shared" si="5"/>
        <v>0.0106436898124684</v>
      </c>
      <c r="M23" s="5">
        <f t="shared" si="2"/>
        <v>-0.00621792341097513</v>
      </c>
    </row>
    <row r="24" spans="1:13">
      <c r="A24" t="s">
        <v>19</v>
      </c>
      <c r="B24" t="s">
        <v>16</v>
      </c>
      <c r="C24">
        <v>9</v>
      </c>
      <c r="D24" s="1">
        <v>45813.9097222222</v>
      </c>
      <c r="E24">
        <v>0.00183</v>
      </c>
      <c r="F24">
        <v>0.001664</v>
      </c>
      <c r="G24" s="2">
        <v>0.8164</v>
      </c>
      <c r="H24">
        <v>830</v>
      </c>
      <c r="I24">
        <f t="shared" si="3"/>
        <v>10968</v>
      </c>
      <c r="J24" s="4">
        <f t="shared" ref="J24:J55" si="6">ABS(H24/L24)/(I24+10000)</f>
        <v>0.436379244563144</v>
      </c>
      <c r="K24" s="5">
        <f>1-(10000+I24)/(MAX(I$2:I24)+10000)</f>
        <v>0</v>
      </c>
      <c r="L24" s="2">
        <f t="shared" si="5"/>
        <v>-0.0907103825136613</v>
      </c>
      <c r="M24" s="5">
        <f t="shared" si="2"/>
        <v>0.0412156122753004</v>
      </c>
    </row>
    <row r="25" spans="1:13">
      <c r="A25" t="s">
        <v>23</v>
      </c>
      <c r="B25" t="s">
        <v>14</v>
      </c>
      <c r="C25">
        <v>10</v>
      </c>
      <c r="D25" s="1">
        <v>45814.6736111111</v>
      </c>
      <c r="E25">
        <v>47.3957</v>
      </c>
      <c r="F25">
        <v>49.4742</v>
      </c>
      <c r="G25" s="2">
        <v>0.4386</v>
      </c>
      <c r="H25">
        <v>1455</v>
      </c>
      <c r="I25">
        <f t="shared" si="3"/>
        <v>12423</v>
      </c>
      <c r="J25" s="4">
        <f t="shared" si="6"/>
        <v>1.47964724354142</v>
      </c>
      <c r="K25" s="5">
        <f>1-(10000+I25)/(MAX(I$2:I25)+10000)</f>
        <v>0</v>
      </c>
      <c r="L25" s="2">
        <f t="shared" si="5"/>
        <v>0.0438541893040931</v>
      </c>
      <c r="M25" s="5">
        <f t="shared" si="2"/>
        <v>0.0693914536436475</v>
      </c>
    </row>
    <row r="26" spans="1:13">
      <c r="A26" t="s">
        <v>15</v>
      </c>
      <c r="B26" t="s">
        <v>16</v>
      </c>
      <c r="C26">
        <v>10</v>
      </c>
      <c r="D26" s="1">
        <v>45817.7305555556</v>
      </c>
      <c r="E26">
        <v>0.9018</v>
      </c>
      <c r="F26">
        <v>0.9</v>
      </c>
      <c r="G26" s="2">
        <v>0.0204</v>
      </c>
      <c r="H26">
        <v>18.3</v>
      </c>
      <c r="I26">
        <f t="shared" si="3"/>
        <v>12441.3</v>
      </c>
      <c r="J26" s="4">
        <f t="shared" si="6"/>
        <v>0.408545850730562</v>
      </c>
      <c r="K26" s="5">
        <f>1-(10000+I26)/(MAX(I$2:I26)+10000)</f>
        <v>0</v>
      </c>
      <c r="L26" s="2">
        <f t="shared" si="5"/>
        <v>-0.00199600798403199</v>
      </c>
      <c r="M26" s="5">
        <f t="shared" si="2"/>
        <v>0.000816126298889533</v>
      </c>
    </row>
    <row r="27" spans="1:13">
      <c r="A27" t="s">
        <v>15</v>
      </c>
      <c r="B27" t="s">
        <v>16</v>
      </c>
      <c r="C27">
        <v>10</v>
      </c>
      <c r="D27" s="1">
        <v>45818.4895833333</v>
      </c>
      <c r="E27">
        <v>1.0205</v>
      </c>
      <c r="F27">
        <v>1.0092</v>
      </c>
      <c r="G27" s="2">
        <v>0.1108</v>
      </c>
      <c r="H27">
        <v>113</v>
      </c>
      <c r="I27">
        <f t="shared" si="3"/>
        <v>12554.3</v>
      </c>
      <c r="J27" s="4">
        <f t="shared" si="6"/>
        <v>0.452463610043323</v>
      </c>
      <c r="K27" s="5">
        <f>1-(10000+I27)/(MAX(I$2:I27)+10000)</f>
        <v>0</v>
      </c>
      <c r="L27" s="2">
        <f t="shared" si="5"/>
        <v>-0.0110730034296912</v>
      </c>
      <c r="M27" s="5">
        <f t="shared" si="2"/>
        <v>0.0050353589141449</v>
      </c>
    </row>
    <row r="28" spans="1:13">
      <c r="A28" t="s">
        <v>24</v>
      </c>
      <c r="B28" t="s">
        <v>14</v>
      </c>
      <c r="C28">
        <v>10</v>
      </c>
      <c r="D28" s="1">
        <v>45818.8576388889</v>
      </c>
      <c r="E28">
        <v>309.35</v>
      </c>
      <c r="F28">
        <v>310.98</v>
      </c>
      <c r="G28" s="2">
        <v>0.0528</v>
      </c>
      <c r="H28">
        <v>131</v>
      </c>
      <c r="I28">
        <f t="shared" si="3"/>
        <v>12685.3</v>
      </c>
      <c r="J28" s="4">
        <f t="shared" si="6"/>
        <v>1.09594632496127</v>
      </c>
      <c r="K28" s="5">
        <f>1-(10000+I28)/(MAX(I$2:I28)+10000)</f>
        <v>0</v>
      </c>
      <c r="L28" s="2">
        <f t="shared" si="5"/>
        <v>0.00526911265556818</v>
      </c>
      <c r="M28" s="5">
        <f t="shared" si="2"/>
        <v>0.00580820508727826</v>
      </c>
    </row>
    <row r="29" spans="1:13">
      <c r="A29" t="s">
        <v>25</v>
      </c>
      <c r="B29" t="s">
        <v>14</v>
      </c>
      <c r="C29">
        <v>10</v>
      </c>
      <c r="D29" s="1">
        <v>45819.3944444444</v>
      </c>
      <c r="E29">
        <v>24.2876</v>
      </c>
      <c r="F29">
        <v>24.307</v>
      </c>
      <c r="G29" s="2">
        <v>0.008</v>
      </c>
      <c r="H29">
        <v>6.01</v>
      </c>
      <c r="I29">
        <f t="shared" si="3"/>
        <v>12691.31</v>
      </c>
      <c r="J29" s="4">
        <f t="shared" si="6"/>
        <v>0.331587213229353</v>
      </c>
      <c r="K29" s="5">
        <f>1-(10000+I29)/(MAX(I$2:I29)+10000)</f>
        <v>0</v>
      </c>
      <c r="L29" s="2">
        <f t="shared" si="5"/>
        <v>0.000798761507929902</v>
      </c>
      <c r="M29" s="5">
        <f t="shared" si="2"/>
        <v>0.000264929271378382</v>
      </c>
    </row>
    <row r="30" spans="1:13">
      <c r="A30" t="s">
        <v>25</v>
      </c>
      <c r="B30" t="s">
        <v>14</v>
      </c>
      <c r="C30">
        <v>10</v>
      </c>
      <c r="D30" s="1">
        <v>45819.5784722222</v>
      </c>
      <c r="E30">
        <v>22.9</v>
      </c>
      <c r="F30">
        <v>22.2845</v>
      </c>
      <c r="G30" s="2">
        <v>-0.2688</v>
      </c>
      <c r="H30">
        <v>-923</v>
      </c>
      <c r="I30">
        <f t="shared" si="3"/>
        <v>11768.31</v>
      </c>
      <c r="J30" s="4">
        <f t="shared" si="6"/>
        <v>1.57755464797263</v>
      </c>
      <c r="K30" s="5">
        <f>1-(10000+I30)/(MAX(I$2:I30)+10000)</f>
        <v>0.0406763646523713</v>
      </c>
      <c r="L30" s="2">
        <f t="shared" si="5"/>
        <v>-0.0268777292576418</v>
      </c>
      <c r="M30" s="5">
        <f t="shared" si="2"/>
        <v>-0.0406763646523713</v>
      </c>
    </row>
    <row r="31" spans="1:13">
      <c r="A31" t="s">
        <v>18</v>
      </c>
      <c r="B31" t="s">
        <v>16</v>
      </c>
      <c r="C31">
        <v>10</v>
      </c>
      <c r="D31" s="1">
        <v>45819.6659722222</v>
      </c>
      <c r="E31">
        <v>1.781e-5</v>
      </c>
      <c r="F31">
        <v>1.671e-5</v>
      </c>
      <c r="G31" s="2">
        <v>0.6177</v>
      </c>
      <c r="H31">
        <v>2200</v>
      </c>
      <c r="I31">
        <f t="shared" si="3"/>
        <v>13968.31</v>
      </c>
      <c r="J31" s="4">
        <f t="shared" si="6"/>
        <v>1.48612897613557</v>
      </c>
      <c r="K31" s="5">
        <f>1-(10000+I31)/(MAX(I$2:I31)+10000)</f>
        <v>0</v>
      </c>
      <c r="L31" s="2">
        <f t="shared" si="5"/>
        <v>-0.0617630544637844</v>
      </c>
      <c r="M31" s="5">
        <f t="shared" si="2"/>
        <v>0.101064345371781</v>
      </c>
    </row>
    <row r="32" spans="1:13">
      <c r="A32" t="s">
        <v>15</v>
      </c>
      <c r="B32" t="s">
        <v>16</v>
      </c>
      <c r="C32">
        <v>10</v>
      </c>
      <c r="D32" s="1">
        <v>45819.7</v>
      </c>
      <c r="E32">
        <v>1.0084</v>
      </c>
      <c r="F32">
        <v>0.9488</v>
      </c>
      <c r="G32" s="2">
        <v>0.5919</v>
      </c>
      <c r="H32">
        <v>1194</v>
      </c>
      <c r="I32">
        <f t="shared" si="3"/>
        <v>15162.31</v>
      </c>
      <c r="J32" s="4">
        <f t="shared" si="6"/>
        <v>0.802861061888773</v>
      </c>
      <c r="K32" s="5">
        <f>1-(10000+I32)/(MAX(I$2:I32)+10000)</f>
        <v>0</v>
      </c>
      <c r="L32" s="2">
        <f t="shared" si="5"/>
        <v>-0.0591035303451012</v>
      </c>
      <c r="M32" s="5">
        <f t="shared" si="2"/>
        <v>0.0498157775829835</v>
      </c>
    </row>
    <row r="33" spans="1:13">
      <c r="A33" t="s">
        <v>18</v>
      </c>
      <c r="B33" t="s">
        <v>16</v>
      </c>
      <c r="C33">
        <v>10</v>
      </c>
      <c r="D33" s="1">
        <v>45820.5256944444</v>
      </c>
      <c r="E33">
        <v>1.632e-5</v>
      </c>
      <c r="F33">
        <v>1.394e-5</v>
      </c>
      <c r="G33" s="2">
        <v>1.4584</v>
      </c>
      <c r="H33">
        <v>4760</v>
      </c>
      <c r="I33">
        <f t="shared" si="3"/>
        <v>19922.31</v>
      </c>
      <c r="J33" s="4">
        <f t="shared" si="6"/>
        <v>1.09082487281229</v>
      </c>
      <c r="K33" s="5">
        <f>1-(10000+I33)/(MAX(I$2:I33)+10000)</f>
        <v>0</v>
      </c>
      <c r="L33" s="2">
        <f t="shared" si="5"/>
        <v>-0.145833333333333</v>
      </c>
      <c r="M33" s="5">
        <f t="shared" si="2"/>
        <v>0.189171820870182</v>
      </c>
    </row>
    <row r="34" spans="1:13">
      <c r="A34" t="s">
        <v>15</v>
      </c>
      <c r="B34" t="s">
        <v>16</v>
      </c>
      <c r="C34">
        <v>10</v>
      </c>
      <c r="D34" s="1">
        <v>45820.5256944444</v>
      </c>
      <c r="E34">
        <v>0.9369</v>
      </c>
      <c r="F34">
        <v>0.8155</v>
      </c>
      <c r="G34" s="2">
        <v>1.2964</v>
      </c>
      <c r="H34">
        <v>6073</v>
      </c>
      <c r="I34">
        <f t="shared" si="3"/>
        <v>25995.31</v>
      </c>
      <c r="J34" s="4">
        <f t="shared" si="6"/>
        <v>1.30206275175286</v>
      </c>
      <c r="K34" s="5">
        <f>1-(10000+I34)/(MAX(I$2:I34)+10000)</f>
        <v>0</v>
      </c>
      <c r="L34" s="2">
        <f t="shared" si="5"/>
        <v>-0.129576262141104</v>
      </c>
      <c r="M34" s="5">
        <f t="shared" si="2"/>
        <v>0.202958929307263</v>
      </c>
    </row>
    <row r="35" spans="1:13">
      <c r="A35" t="s">
        <v>15</v>
      </c>
      <c r="B35" t="s">
        <v>16</v>
      </c>
      <c r="C35">
        <v>10</v>
      </c>
      <c r="D35" s="1">
        <v>45821.9659722222</v>
      </c>
      <c r="E35">
        <v>0.8526</v>
      </c>
      <c r="F35">
        <v>0.774</v>
      </c>
      <c r="G35" s="2">
        <v>0.9218</v>
      </c>
      <c r="H35">
        <v>3144</v>
      </c>
      <c r="I35">
        <f t="shared" si="3"/>
        <v>29139.31</v>
      </c>
      <c r="J35" s="4">
        <f t="shared" si="6"/>
        <v>0.871349035023867</v>
      </c>
      <c r="K35" s="5">
        <f>1-(10000+I35)/(MAX(I$2:I35)+10000)</f>
        <v>0</v>
      </c>
      <c r="L35" s="2">
        <f t="shared" si="5"/>
        <v>-0.0921885995777622</v>
      </c>
      <c r="M35" s="5">
        <f t="shared" si="2"/>
        <v>0.0873447124083665</v>
      </c>
    </row>
    <row r="36" spans="1:13">
      <c r="A36" t="s">
        <v>18</v>
      </c>
      <c r="B36" t="s">
        <v>16</v>
      </c>
      <c r="C36">
        <v>10</v>
      </c>
      <c r="D36" s="1">
        <v>45822.3416666667</v>
      </c>
      <c r="E36">
        <v>1.469e-5</v>
      </c>
      <c r="F36">
        <v>1.426e-5</v>
      </c>
      <c r="G36" s="2">
        <v>0.2928</v>
      </c>
      <c r="H36">
        <v>1591</v>
      </c>
      <c r="I36">
        <f t="shared" si="3"/>
        <v>30730.31</v>
      </c>
      <c r="J36" s="4">
        <f t="shared" si="6"/>
        <v>1.33446074925528</v>
      </c>
      <c r="K36" s="5">
        <f>1-(10000+I36)/(MAX(I$2:I36)+10000)</f>
        <v>0</v>
      </c>
      <c r="L36" s="2">
        <f t="shared" si="5"/>
        <v>-0.0292716133424098</v>
      </c>
      <c r="M36" s="5">
        <f t="shared" si="2"/>
        <v>0.0406496690922758</v>
      </c>
    </row>
    <row r="37" spans="1:13">
      <c r="A37" t="s">
        <v>22</v>
      </c>
      <c r="B37" t="s">
        <v>14</v>
      </c>
      <c r="C37">
        <v>10</v>
      </c>
      <c r="D37" s="1">
        <v>45823.0472222222</v>
      </c>
      <c r="E37">
        <v>295</v>
      </c>
      <c r="F37">
        <v>296.6</v>
      </c>
      <c r="G37" s="2">
        <v>0.0543</v>
      </c>
      <c r="H37">
        <v>160</v>
      </c>
      <c r="I37">
        <f t="shared" ref="I37:I67" si="7">I36+H37</f>
        <v>30890.31</v>
      </c>
      <c r="J37" s="4">
        <f t="shared" si="6"/>
        <v>0.721442317262923</v>
      </c>
      <c r="K37" s="5">
        <f>1-(10000+I37)/(MAX(I$2:I37)+10000)</f>
        <v>0</v>
      </c>
      <c r="L37" s="2">
        <f t="shared" si="5"/>
        <v>0.00542372881355946</v>
      </c>
      <c r="M37" s="5">
        <f t="shared" si="2"/>
        <v>0.00392827847369686</v>
      </c>
    </row>
    <row r="38" spans="1:13">
      <c r="A38" t="s">
        <v>15</v>
      </c>
      <c r="B38" t="s">
        <v>14</v>
      </c>
      <c r="C38">
        <v>10</v>
      </c>
      <c r="D38" s="1">
        <v>45826.5784722222</v>
      </c>
      <c r="E38">
        <v>0.7861</v>
      </c>
      <c r="F38">
        <v>0.775</v>
      </c>
      <c r="G38" s="2">
        <v>-0.1413</v>
      </c>
      <c r="H38">
        <v>-111</v>
      </c>
      <c r="I38">
        <f t="shared" si="7"/>
        <v>30779.31</v>
      </c>
      <c r="J38" s="4">
        <f t="shared" si="6"/>
        <v>0.192769323463295</v>
      </c>
      <c r="K38" s="5">
        <f>1-(10000+I38)/(MAX(I$2:I38)+10000)</f>
        <v>0.00271457956665033</v>
      </c>
      <c r="L38" s="2">
        <f t="shared" si="5"/>
        <v>-0.0141203409235466</v>
      </c>
      <c r="M38" s="5">
        <f t="shared" si="2"/>
        <v>-0.00271457956665039</v>
      </c>
    </row>
    <row r="39" spans="1:13">
      <c r="A39" t="s">
        <v>18</v>
      </c>
      <c r="B39" t="s">
        <v>14</v>
      </c>
      <c r="C39">
        <v>10</v>
      </c>
      <c r="D39" s="1">
        <v>45826.9972222222</v>
      </c>
      <c r="E39">
        <v>1.38e-5</v>
      </c>
      <c r="F39">
        <v>1.414e-5</v>
      </c>
      <c r="G39" s="2">
        <v>0.2464</v>
      </c>
      <c r="H39">
        <v>680</v>
      </c>
      <c r="I39">
        <f t="shared" si="7"/>
        <v>31459.31</v>
      </c>
      <c r="J39" s="4">
        <f t="shared" si="6"/>
        <v>0.665712960490661</v>
      </c>
      <c r="K39" s="5">
        <f>1-(10000+I39)/(MAX(I$2:I39)+10000)</f>
        <v>0</v>
      </c>
      <c r="L39" s="2">
        <f t="shared" si="5"/>
        <v>0.0246376811594202</v>
      </c>
      <c r="M39" s="5">
        <f t="shared" si="2"/>
        <v>0.0166751227521996</v>
      </c>
    </row>
    <row r="40" spans="1:13">
      <c r="A40" t="s">
        <v>15</v>
      </c>
      <c r="B40" t="s">
        <v>14</v>
      </c>
      <c r="C40">
        <v>10</v>
      </c>
      <c r="D40" s="1">
        <v>45827.3798611111</v>
      </c>
      <c r="E40">
        <v>0.7857</v>
      </c>
      <c r="F40">
        <v>0.7849</v>
      </c>
      <c r="G40" s="2">
        <v>-0.009</v>
      </c>
      <c r="H40">
        <v>-15.6</v>
      </c>
      <c r="I40">
        <f t="shared" si="7"/>
        <v>31443.71</v>
      </c>
      <c r="J40" s="4">
        <f t="shared" si="6"/>
        <v>0.369685773788133</v>
      </c>
      <c r="K40" s="5">
        <f>1-(10000+I40)/(MAX(I$2:I40)+10000)</f>
        <v>0.000376272542885969</v>
      </c>
      <c r="L40" s="2">
        <f t="shared" si="5"/>
        <v>-0.00101820033091504</v>
      </c>
      <c r="M40" s="5">
        <f t="shared" si="2"/>
        <v>-0.000376272542886025</v>
      </c>
    </row>
    <row r="41" spans="1:13">
      <c r="A41" t="s">
        <v>18</v>
      </c>
      <c r="B41" t="s">
        <v>16</v>
      </c>
      <c r="C41">
        <v>10</v>
      </c>
      <c r="D41" s="1">
        <v>45828.45625</v>
      </c>
      <c r="E41">
        <v>1.427e-5</v>
      </c>
      <c r="F41">
        <v>1.236e-5</v>
      </c>
      <c r="G41" s="2">
        <v>1.3385</v>
      </c>
      <c r="H41">
        <v>4775</v>
      </c>
      <c r="I41">
        <f t="shared" si="7"/>
        <v>36218.71</v>
      </c>
      <c r="J41" s="4">
        <f t="shared" si="6"/>
        <v>0.77187355510355</v>
      </c>
      <c r="K41" s="5">
        <f>1-(10000+I41)/(MAX(I$2:I41)+10000)</f>
        <v>0</v>
      </c>
      <c r="L41" s="2">
        <f t="shared" si="5"/>
        <v>-0.133847231955151</v>
      </c>
      <c r="M41" s="5">
        <f t="shared" si="2"/>
        <v>0.115216518984425</v>
      </c>
    </row>
    <row r="42" spans="1:13">
      <c r="A42" t="s">
        <v>15</v>
      </c>
      <c r="B42" t="s">
        <v>16</v>
      </c>
      <c r="C42">
        <v>10</v>
      </c>
      <c r="D42" s="1">
        <v>45828.4611111111</v>
      </c>
      <c r="E42">
        <v>0.7608</v>
      </c>
      <c r="F42">
        <v>0.6645</v>
      </c>
      <c r="G42" s="2">
        <v>1.266</v>
      </c>
      <c r="H42">
        <v>5779</v>
      </c>
      <c r="I42">
        <f t="shared" si="7"/>
        <v>41997.71</v>
      </c>
      <c r="J42" s="4">
        <f t="shared" si="6"/>
        <v>0.878036750301628</v>
      </c>
      <c r="K42" s="5">
        <f>1-(10000+I42)/(MAX(I$2:I42)+10000)</f>
        <v>0</v>
      </c>
      <c r="L42" s="2">
        <f t="shared" si="5"/>
        <v>-0.126577287066246</v>
      </c>
      <c r="M42" s="5">
        <f t="shared" si="2"/>
        <v>0.125035943235975</v>
      </c>
    </row>
    <row r="43" spans="1:13">
      <c r="A43" t="s">
        <v>26</v>
      </c>
      <c r="B43" t="s">
        <v>16</v>
      </c>
      <c r="C43">
        <v>10</v>
      </c>
      <c r="D43" s="1">
        <v>45828.9625</v>
      </c>
      <c r="E43">
        <v>35.8959</v>
      </c>
      <c r="F43">
        <v>32.534</v>
      </c>
      <c r="G43" s="2">
        <v>0.9366</v>
      </c>
      <c r="H43">
        <v>3362</v>
      </c>
      <c r="I43">
        <f t="shared" si="7"/>
        <v>45359.71</v>
      </c>
      <c r="J43" s="4">
        <f t="shared" si="6"/>
        <v>0.648431282002438</v>
      </c>
      <c r="K43" s="5">
        <f>1-(10000+I43)/(MAX(I$2:I43)+10000)</f>
        <v>0</v>
      </c>
      <c r="L43" s="2">
        <f t="shared" si="5"/>
        <v>-0.0936569357503224</v>
      </c>
      <c r="M43" s="5">
        <f t="shared" si="2"/>
        <v>0.0646566935351576</v>
      </c>
    </row>
    <row r="44" spans="1:13">
      <c r="A44" t="s">
        <v>17</v>
      </c>
      <c r="B44" t="s">
        <v>14</v>
      </c>
      <c r="C44">
        <v>10</v>
      </c>
      <c r="D44" s="1">
        <v>45830.9708333333</v>
      </c>
      <c r="E44">
        <v>2201.04</v>
      </c>
      <c r="F44">
        <v>2249.08</v>
      </c>
      <c r="G44" s="2">
        <v>0.2183</v>
      </c>
      <c r="H44">
        <v>2669</v>
      </c>
      <c r="I44">
        <f t="shared" si="7"/>
        <v>48028.71</v>
      </c>
      <c r="J44" s="4">
        <f t="shared" si="6"/>
        <v>2.10732051010098</v>
      </c>
      <c r="K44" s="5">
        <f>1-(10000+I44)/(MAX(I$2:I44)+10000)</f>
        <v>0</v>
      </c>
      <c r="L44" s="2">
        <f t="shared" si="5"/>
        <v>0.0218260458692254</v>
      </c>
      <c r="M44" s="5">
        <f t="shared" si="2"/>
        <v>0.0482119577577267</v>
      </c>
    </row>
    <row r="45" spans="1:13">
      <c r="A45" t="s">
        <v>24</v>
      </c>
      <c r="B45" t="s">
        <v>14</v>
      </c>
      <c r="C45">
        <v>10</v>
      </c>
      <c r="D45" s="1">
        <v>45831.9222222222</v>
      </c>
      <c r="E45">
        <v>235.01</v>
      </c>
      <c r="F45">
        <v>225.14</v>
      </c>
      <c r="G45" s="2">
        <v>-0.4201</v>
      </c>
      <c r="H45">
        <v>-973</v>
      </c>
      <c r="I45">
        <f t="shared" si="7"/>
        <v>47055.71</v>
      </c>
      <c r="J45" s="4">
        <f t="shared" si="6"/>
        <v>0.406053179993194</v>
      </c>
      <c r="K45" s="5">
        <f>1-(10000+I45)/(MAX(I$2:I45)+10000)</f>
        <v>0.0167675621257133</v>
      </c>
      <c r="L45" s="2">
        <f t="shared" si="5"/>
        <v>-0.0419982128420068</v>
      </c>
      <c r="M45" s="5">
        <f t="shared" si="2"/>
        <v>-0.0167675621257133</v>
      </c>
    </row>
    <row r="46" spans="1:13">
      <c r="A46" t="s">
        <v>22</v>
      </c>
      <c r="B46" t="s">
        <v>14</v>
      </c>
      <c r="C46">
        <v>10</v>
      </c>
      <c r="D46" s="1">
        <v>45831.9694444444</v>
      </c>
      <c r="E46">
        <v>300</v>
      </c>
      <c r="F46">
        <v>309.8</v>
      </c>
      <c r="G46" s="2">
        <v>0.3267</v>
      </c>
      <c r="H46">
        <v>980</v>
      </c>
      <c r="I46">
        <f t="shared" si="7"/>
        <v>48035.71</v>
      </c>
      <c r="J46" s="4">
        <f t="shared" si="6"/>
        <v>0.516923115095862</v>
      </c>
      <c r="K46" s="5">
        <f>1-(10000+I46)/(MAX(I$2:I46)+10000)</f>
        <v>0</v>
      </c>
      <c r="L46" s="2">
        <f t="shared" si="5"/>
        <v>0.0326666666666666</v>
      </c>
      <c r="M46" s="5">
        <f t="shared" si="2"/>
        <v>0.0171761949855676</v>
      </c>
    </row>
    <row r="47" spans="1:13">
      <c r="A47" t="s">
        <v>15</v>
      </c>
      <c r="B47" t="s">
        <v>16</v>
      </c>
      <c r="C47">
        <v>10</v>
      </c>
      <c r="D47" s="1">
        <v>45832.0430555556</v>
      </c>
      <c r="E47">
        <v>0.7294</v>
      </c>
      <c r="F47">
        <v>0.8448</v>
      </c>
      <c r="G47" s="2">
        <v>-1.5822</v>
      </c>
      <c r="H47">
        <v>-8078</v>
      </c>
      <c r="I47">
        <f t="shared" si="7"/>
        <v>39957.71</v>
      </c>
      <c r="J47" s="4">
        <f t="shared" si="6"/>
        <v>1.02202442826142</v>
      </c>
      <c r="K47" s="5">
        <f>1-(10000+I47)/(MAX(I$2:I47)+10000)</f>
        <v>0.139190164124812</v>
      </c>
      <c r="L47" s="2">
        <f t="shared" si="5"/>
        <v>0.158212229229504</v>
      </c>
      <c r="M47" s="5">
        <f t="shared" si="2"/>
        <v>-0.139190164124812</v>
      </c>
    </row>
    <row r="48" spans="1:13">
      <c r="A48" t="s">
        <v>18</v>
      </c>
      <c r="B48" t="s">
        <v>16</v>
      </c>
      <c r="C48">
        <v>10</v>
      </c>
      <c r="D48" s="1">
        <v>45832.2902777778</v>
      </c>
      <c r="E48">
        <v>1.388e-5</v>
      </c>
      <c r="F48">
        <v>1.412e-5</v>
      </c>
      <c r="G48" s="2">
        <v>-0.173</v>
      </c>
      <c r="H48">
        <v>-720</v>
      </c>
      <c r="I48">
        <f t="shared" si="7"/>
        <v>39237.71</v>
      </c>
      <c r="J48" s="4">
        <f t="shared" si="6"/>
        <v>0.845693270462818</v>
      </c>
      <c r="K48" s="5">
        <f>1-(10000+I48)/(MAX(I$2:I48)+10000)</f>
        <v>0.151596318887113</v>
      </c>
      <c r="L48" s="2">
        <f t="shared" si="5"/>
        <v>0.0172910662824208</v>
      </c>
      <c r="M48" s="5">
        <f t="shared" si="2"/>
        <v>-0.0144121898301583</v>
      </c>
    </row>
    <row r="49" spans="1:13">
      <c r="A49" t="s">
        <v>26</v>
      </c>
      <c r="B49" t="s">
        <v>16</v>
      </c>
      <c r="C49">
        <v>10</v>
      </c>
      <c r="D49" s="1">
        <v>45832.5847222222</v>
      </c>
      <c r="E49">
        <v>37.7835</v>
      </c>
      <c r="F49">
        <v>38.0695</v>
      </c>
      <c r="G49" s="2">
        <v>-0.0758</v>
      </c>
      <c r="H49">
        <v>-286</v>
      </c>
      <c r="I49">
        <f t="shared" si="7"/>
        <v>38951.71</v>
      </c>
      <c r="J49" s="4">
        <f t="shared" si="6"/>
        <v>0.771852505254661</v>
      </c>
      <c r="K49" s="5">
        <f>1-(10000+I49)/(MAX(I$2:I49)+10000)</f>
        <v>0.156524319251027</v>
      </c>
      <c r="L49" s="2">
        <f t="shared" si="5"/>
        <v>0.00756944168750917</v>
      </c>
      <c r="M49" s="5">
        <f t="shared" si="2"/>
        <v>-0.0058085560843508</v>
      </c>
    </row>
    <row r="50" spans="1:13">
      <c r="A50" t="s">
        <v>17</v>
      </c>
      <c r="B50" t="s">
        <v>16</v>
      </c>
      <c r="C50">
        <v>10</v>
      </c>
      <c r="D50" s="1">
        <v>45833.3625</v>
      </c>
      <c r="E50">
        <v>2437.39</v>
      </c>
      <c r="F50">
        <v>2437</v>
      </c>
      <c r="G50" s="2">
        <v>0.0017</v>
      </c>
      <c r="H50">
        <v>17.5</v>
      </c>
      <c r="I50">
        <f t="shared" si="7"/>
        <v>38969.21</v>
      </c>
      <c r="J50" s="4">
        <f t="shared" si="6"/>
        <v>2.23344554879673</v>
      </c>
      <c r="K50" s="5">
        <f>1-(10000+I50)/(MAX(I$2:I50)+10000)</f>
        <v>0.156222780767221</v>
      </c>
      <c r="L50" s="2">
        <f t="shared" si="5"/>
        <v>-0.000160007220838643</v>
      </c>
      <c r="M50" s="5">
        <f t="shared" si="2"/>
        <v>0.000357495172283052</v>
      </c>
    </row>
    <row r="51" spans="1:13">
      <c r="A51" t="s">
        <v>15</v>
      </c>
      <c r="B51" t="s">
        <v>14</v>
      </c>
      <c r="C51">
        <v>10</v>
      </c>
      <c r="D51" s="1">
        <v>45833.5173611111</v>
      </c>
      <c r="E51">
        <v>0.8344</v>
      </c>
      <c r="F51">
        <v>0.85</v>
      </c>
      <c r="G51" s="2">
        <v>0.1872</v>
      </c>
      <c r="H51">
        <v>2186</v>
      </c>
      <c r="I51">
        <f t="shared" si="7"/>
        <v>41155.21</v>
      </c>
      <c r="J51" s="4">
        <f t="shared" si="6"/>
        <v>2.28565134145623</v>
      </c>
      <c r="K51" s="5">
        <f>1-(10000+I51)/(MAX(I$2:I51)+10000)</f>
        <v>0.118556316447236</v>
      </c>
      <c r="L51" s="2">
        <f t="shared" ref="L51:L82" si="8">F51/E51-1</f>
        <v>0.0186960690316393</v>
      </c>
      <c r="M51" s="5">
        <f t="shared" si="2"/>
        <v>0.0446402954019475</v>
      </c>
    </row>
    <row r="52" spans="1:13">
      <c r="A52" t="s">
        <v>22</v>
      </c>
      <c r="B52" t="s">
        <v>14</v>
      </c>
      <c r="C52">
        <v>10</v>
      </c>
      <c r="D52" s="1">
        <v>45833.5416666667</v>
      </c>
      <c r="E52">
        <v>338.5</v>
      </c>
      <c r="F52">
        <v>341.3</v>
      </c>
      <c r="G52" s="2">
        <v>0.0828</v>
      </c>
      <c r="H52">
        <v>140</v>
      </c>
      <c r="I52">
        <f t="shared" si="7"/>
        <v>41295.21</v>
      </c>
      <c r="J52" s="4">
        <f t="shared" si="6"/>
        <v>0.329952835752112</v>
      </c>
      <c r="K52" s="5">
        <f>1-(10000+I52)/(MAX(I$2:I52)+10000)</f>
        <v>0.116144008576788</v>
      </c>
      <c r="L52" s="2">
        <f t="shared" si="8"/>
        <v>0.00827178729689804</v>
      </c>
      <c r="M52" s="5">
        <f t="shared" si="2"/>
        <v>0.00273676913847094</v>
      </c>
    </row>
    <row r="53" spans="1:13">
      <c r="A53" t="s">
        <v>15</v>
      </c>
      <c r="B53" t="s">
        <v>14</v>
      </c>
      <c r="C53">
        <v>10</v>
      </c>
      <c r="D53" s="1">
        <v>45833.8604166667</v>
      </c>
      <c r="E53">
        <v>0.8486</v>
      </c>
      <c r="F53">
        <v>0.8486</v>
      </c>
      <c r="G53" s="3">
        <v>0</v>
      </c>
      <c r="H53">
        <v>0</v>
      </c>
      <c r="I53">
        <f t="shared" si="7"/>
        <v>41295.21</v>
      </c>
      <c r="J53" s="4" t="e">
        <f t="shared" si="6"/>
        <v>#DIV/0!</v>
      </c>
      <c r="K53" s="5">
        <f>1-(10000+I53)/(MAX(I$2:I53)+10000)</f>
        <v>0.116144008576788</v>
      </c>
      <c r="L53" s="2">
        <f>F53/E53-1</f>
        <v>0</v>
      </c>
      <c r="M53" s="5">
        <f t="shared" si="2"/>
        <v>0</v>
      </c>
    </row>
    <row r="54" spans="1:13">
      <c r="A54" t="s">
        <v>18</v>
      </c>
      <c r="B54" t="s">
        <v>14</v>
      </c>
      <c r="C54">
        <v>10</v>
      </c>
      <c r="D54" s="1">
        <v>45837.5548611111</v>
      </c>
      <c r="E54">
        <v>1.467e-5</v>
      </c>
      <c r="F54">
        <v>2.15e-5</v>
      </c>
      <c r="G54" s="2">
        <v>4.6558</v>
      </c>
      <c r="H54">
        <v>20500</v>
      </c>
      <c r="I54">
        <f t="shared" si="7"/>
        <v>61795.21</v>
      </c>
      <c r="J54" s="4">
        <f t="shared" si="6"/>
        <v>0.613292708108686</v>
      </c>
      <c r="K54" s="5">
        <f>1-(10000+I54)/(MAX(I$2:I54)+10000)</f>
        <v>0</v>
      </c>
      <c r="L54" s="2">
        <f t="shared" si="8"/>
        <v>0.465576005453306</v>
      </c>
      <c r="M54" s="5">
        <f t="shared" si="2"/>
        <v>0.399647452461936</v>
      </c>
    </row>
    <row r="55" spans="1:13">
      <c r="A55" t="s">
        <v>27</v>
      </c>
      <c r="B55" t="s">
        <v>14</v>
      </c>
      <c r="C55">
        <v>9</v>
      </c>
      <c r="D55" s="1">
        <v>45846.3972222222</v>
      </c>
      <c r="E55">
        <v>0.1778</v>
      </c>
      <c r="F55">
        <v>0.1764</v>
      </c>
      <c r="G55" s="2">
        <v>-0.0723</v>
      </c>
      <c r="H55">
        <v>-143</v>
      </c>
      <c r="I55">
        <f t="shared" si="7"/>
        <v>61652.21</v>
      </c>
      <c r="J55" s="4">
        <f t="shared" si="6"/>
        <v>0.253460430599416</v>
      </c>
      <c r="K55" s="5">
        <f>1-(10000+I55)/(MAX(I$2:I55)+10000)</f>
        <v>0.00199177633159653</v>
      </c>
      <c r="L55" s="2">
        <f t="shared" si="8"/>
        <v>-0.00787401574803159</v>
      </c>
      <c r="M55" s="5">
        <f t="shared" si="2"/>
        <v>-0.0019917763315965</v>
      </c>
    </row>
    <row r="56" spans="1:13">
      <c r="A56" t="s">
        <v>28</v>
      </c>
      <c r="B56" t="s">
        <v>14</v>
      </c>
      <c r="C56">
        <v>10</v>
      </c>
      <c r="D56" s="1">
        <v>45847.4194444444</v>
      </c>
      <c r="E56">
        <v>0.2242</v>
      </c>
      <c r="F56">
        <v>0.2871</v>
      </c>
      <c r="G56" s="2">
        <v>2.8056</v>
      </c>
      <c r="H56">
        <v>12600</v>
      </c>
      <c r="I56">
        <f t="shared" si="7"/>
        <v>74252.21</v>
      </c>
      <c r="J56" s="4">
        <f t="shared" ref="J56:J87" si="9">ABS(H56/L56)/(I56+10000)</f>
        <v>0.533057681909431</v>
      </c>
      <c r="K56" s="5">
        <f>1-(10000+I56)/(MAX(I$2:I56)+10000)</f>
        <v>0</v>
      </c>
      <c r="L56" s="2">
        <f t="shared" si="8"/>
        <v>0.280553077609278</v>
      </c>
      <c r="M56" s="5">
        <f t="shared" si="2"/>
        <v>0.175849425998165</v>
      </c>
    </row>
    <row r="57" spans="1:13">
      <c r="A57" t="s">
        <v>15</v>
      </c>
      <c r="B57" t="s">
        <v>14</v>
      </c>
      <c r="C57">
        <v>10</v>
      </c>
      <c r="D57" s="1">
        <v>45848.4715277778</v>
      </c>
      <c r="E57">
        <v>0.9602</v>
      </c>
      <c r="F57">
        <v>1.0183</v>
      </c>
      <c r="G57" s="2">
        <v>0.6059</v>
      </c>
      <c r="H57">
        <v>2908</v>
      </c>
      <c r="I57">
        <f t="shared" si="7"/>
        <v>77160.21</v>
      </c>
      <c r="J57" s="4">
        <f t="shared" si="9"/>
        <v>0.551393577808309</v>
      </c>
      <c r="K57" s="5">
        <f>1-(10000+I57)/(MAX(I$2:I57)+10000)</f>
        <v>0</v>
      </c>
      <c r="L57" s="2">
        <f t="shared" si="8"/>
        <v>0.0605082274526139</v>
      </c>
      <c r="M57" s="5">
        <f t="shared" si="2"/>
        <v>0.0345154150852541</v>
      </c>
    </row>
    <row r="58" spans="1:13">
      <c r="A58" t="s">
        <v>29</v>
      </c>
      <c r="B58" t="s">
        <v>14</v>
      </c>
      <c r="C58">
        <v>8</v>
      </c>
      <c r="D58" s="1">
        <v>45849.7888888889</v>
      </c>
      <c r="E58">
        <v>0.02277</v>
      </c>
      <c r="F58">
        <v>0.02273</v>
      </c>
      <c r="G58" s="2">
        <v>-0.0141</v>
      </c>
      <c r="H58">
        <v>-121</v>
      </c>
      <c r="I58">
        <f t="shared" si="7"/>
        <v>77039.21</v>
      </c>
      <c r="J58" s="4">
        <f t="shared" si="9"/>
        <v>0.791358859989663</v>
      </c>
      <c r="K58" s="5">
        <f>1-(10000+I58)/(MAX(I$2:I58)+10000)</f>
        <v>0.00138824814671745</v>
      </c>
      <c r="L58" s="2">
        <f t="shared" si="8"/>
        <v>-0.0017566974088713</v>
      </c>
      <c r="M58" s="5">
        <f t="shared" si="2"/>
        <v>-0.00138824814671741</v>
      </c>
    </row>
    <row r="59" spans="1:13">
      <c r="A59" t="s">
        <v>15</v>
      </c>
      <c r="B59" t="s">
        <v>16</v>
      </c>
      <c r="C59">
        <v>10</v>
      </c>
      <c r="D59" s="1">
        <v>45851.9430555556</v>
      </c>
      <c r="E59">
        <v>1.0249</v>
      </c>
      <c r="F59">
        <v>0.9837</v>
      </c>
      <c r="G59" s="2">
        <v>0.4027</v>
      </c>
      <c r="H59">
        <v>4127</v>
      </c>
      <c r="I59">
        <f t="shared" si="7"/>
        <v>81166.21</v>
      </c>
      <c r="J59" s="4">
        <f t="shared" si="9"/>
        <v>1.12612045071464</v>
      </c>
      <c r="K59" s="5">
        <f>1-(10000+I59)/(MAX(I$2:I59)+10000)</f>
        <v>0</v>
      </c>
      <c r="L59" s="2">
        <f t="shared" si="8"/>
        <v>-0.0401990438091521</v>
      </c>
      <c r="M59" s="5">
        <f t="shared" si="2"/>
        <v>0.0474154119735232</v>
      </c>
    </row>
    <row r="60" spans="1:13">
      <c r="A60" t="s">
        <v>30</v>
      </c>
      <c r="B60" t="s">
        <v>14</v>
      </c>
      <c r="C60">
        <v>7</v>
      </c>
      <c r="D60" s="1">
        <v>45853.525</v>
      </c>
      <c r="E60">
        <v>0.1478</v>
      </c>
      <c r="F60">
        <v>0.148</v>
      </c>
      <c r="G60" s="2">
        <v>0.0114</v>
      </c>
      <c r="H60">
        <v>48</v>
      </c>
      <c r="I60">
        <f t="shared" si="7"/>
        <v>81214.21</v>
      </c>
      <c r="J60" s="4">
        <f t="shared" si="9"/>
        <v>0.388886775426741</v>
      </c>
      <c r="K60" s="5">
        <f>1-(10000+I60)/(MAX(I$2:I60)+10000)</f>
        <v>0</v>
      </c>
      <c r="L60" s="2">
        <f t="shared" si="8"/>
        <v>0.00135317997293649</v>
      </c>
      <c r="M60" s="5">
        <f t="shared" si="2"/>
        <v>0.000526510864058076</v>
      </c>
    </row>
    <row r="61" spans="1:13">
      <c r="A61" t="s">
        <v>18</v>
      </c>
      <c r="B61" t="s">
        <v>16</v>
      </c>
      <c r="C61">
        <v>10</v>
      </c>
      <c r="D61" s="1">
        <v>45853.6847222222</v>
      </c>
      <c r="E61">
        <v>2.869e-5</v>
      </c>
      <c r="F61">
        <v>2.823e-5</v>
      </c>
      <c r="G61" s="2">
        <v>0.1604</v>
      </c>
      <c r="H61">
        <v>460</v>
      </c>
      <c r="I61">
        <f t="shared" si="7"/>
        <v>81674.21</v>
      </c>
      <c r="J61" s="4">
        <f t="shared" si="9"/>
        <v>0.312956064742744</v>
      </c>
      <c r="K61" s="5">
        <f>1-(10000+I61)/(MAX(I$2:I61)+10000)</f>
        <v>0</v>
      </c>
      <c r="L61" s="2">
        <f t="shared" si="8"/>
        <v>-0.0160334611362845</v>
      </c>
      <c r="M61" s="5">
        <f t="shared" si="2"/>
        <v>0.00504307388070346</v>
      </c>
    </row>
    <row r="62" spans="1:13">
      <c r="A62" t="s">
        <v>27</v>
      </c>
      <c r="B62" t="s">
        <v>14</v>
      </c>
      <c r="C62">
        <v>9</v>
      </c>
      <c r="D62" s="1">
        <v>45853.9201388889</v>
      </c>
      <c r="E62">
        <v>0.1894</v>
      </c>
      <c r="F62">
        <v>0.2075</v>
      </c>
      <c r="G62" s="2">
        <v>0.8598</v>
      </c>
      <c r="H62">
        <v>7238</v>
      </c>
      <c r="I62">
        <f t="shared" si="7"/>
        <v>88912.21</v>
      </c>
      <c r="J62" s="4">
        <f t="shared" si="9"/>
        <v>0.765720145401711</v>
      </c>
      <c r="K62" s="5">
        <f>1-(10000+I62)/(MAX(I$2:I62)+10000)</f>
        <v>0</v>
      </c>
      <c r="L62" s="2">
        <f t="shared" si="8"/>
        <v>0.0955649419218583</v>
      </c>
      <c r="M62" s="5">
        <f t="shared" si="2"/>
        <v>0.078953502844475</v>
      </c>
    </row>
    <row r="63" spans="1:13">
      <c r="A63" t="s">
        <v>30</v>
      </c>
      <c r="B63" t="s">
        <v>14</v>
      </c>
      <c r="C63">
        <v>7</v>
      </c>
      <c r="D63" s="1">
        <v>45853.9527777778</v>
      </c>
      <c r="E63">
        <v>0.147</v>
      </c>
      <c r="F63">
        <v>0.147</v>
      </c>
      <c r="G63" s="2">
        <v>-0.002</v>
      </c>
      <c r="H63">
        <v>-2</v>
      </c>
      <c r="I63">
        <f t="shared" si="7"/>
        <v>88910.21</v>
      </c>
      <c r="J63" s="4" t="e">
        <f t="shared" si="9"/>
        <v>#DIV/0!</v>
      </c>
      <c r="K63" s="5">
        <f>1-(10000+I63)/(MAX(I$2:I63)+10000)</f>
        <v>2.02199506006417e-5</v>
      </c>
      <c r="L63" s="2">
        <f t="shared" si="8"/>
        <v>0</v>
      </c>
      <c r="M63" s="5">
        <f t="shared" si="2"/>
        <v>-2.02199506006387e-5</v>
      </c>
    </row>
    <row r="64" spans="1:13">
      <c r="A64" t="s">
        <v>29</v>
      </c>
      <c r="B64" t="s">
        <v>14</v>
      </c>
      <c r="C64">
        <v>8</v>
      </c>
      <c r="D64" s="1">
        <v>45854.7076388889</v>
      </c>
      <c r="E64">
        <v>0.02188</v>
      </c>
      <c r="F64">
        <v>0.02373</v>
      </c>
      <c r="G64" s="2">
        <v>0.6765</v>
      </c>
      <c r="H64">
        <v>1850</v>
      </c>
      <c r="I64">
        <f t="shared" si="7"/>
        <v>90760.21</v>
      </c>
      <c r="J64" s="4">
        <f t="shared" si="9"/>
        <v>0.21714920999073</v>
      </c>
      <c r="K64" s="5">
        <f>1-(10000+I64)/(MAX(I$2:I64)+10000)</f>
        <v>0</v>
      </c>
      <c r="L64" s="2">
        <f t="shared" si="8"/>
        <v>0.0845521023765996</v>
      </c>
      <c r="M64" s="5">
        <f t="shared" si="2"/>
        <v>0.0187038324961599</v>
      </c>
    </row>
    <row r="65" spans="1:13">
      <c r="A65" t="s">
        <v>17</v>
      </c>
      <c r="B65" t="s">
        <v>14</v>
      </c>
      <c r="C65">
        <v>10</v>
      </c>
      <c r="D65" s="1">
        <v>45855.0736111111</v>
      </c>
      <c r="E65">
        <v>3294.41</v>
      </c>
      <c r="F65">
        <v>3380.63</v>
      </c>
      <c r="G65" s="2">
        <v>0.2618</v>
      </c>
      <c r="H65">
        <v>86.2</v>
      </c>
      <c r="I65">
        <f t="shared" si="7"/>
        <v>90846.41</v>
      </c>
      <c r="J65" s="4">
        <f t="shared" si="9"/>
        <v>0.0326600204512624</v>
      </c>
      <c r="K65" s="5">
        <f>1-(10000+I65)/(MAX(I$2:I65)+10000)</f>
        <v>0</v>
      </c>
      <c r="L65" s="2">
        <f t="shared" si="8"/>
        <v>0.0261716058414103</v>
      </c>
      <c r="M65" s="5">
        <f t="shared" si="2"/>
        <v>0.000855496430585049</v>
      </c>
    </row>
    <row r="66" spans="1:13">
      <c r="A66" t="s">
        <v>31</v>
      </c>
      <c r="B66" t="s">
        <v>16</v>
      </c>
      <c r="C66">
        <v>20</v>
      </c>
      <c r="D66" s="1">
        <v>45855.2666666667</v>
      </c>
      <c r="E66">
        <v>119376.2</v>
      </c>
      <c r="F66">
        <v>119224.3</v>
      </c>
      <c r="G66" s="2">
        <v>0.0255</v>
      </c>
      <c r="H66">
        <v>1.52</v>
      </c>
      <c r="I66">
        <f t="shared" si="7"/>
        <v>90847.93</v>
      </c>
      <c r="J66" s="4">
        <f t="shared" si="9"/>
        <v>0.0118450412097467</v>
      </c>
      <c r="K66" s="5">
        <f>1-(10000+I66)/(MAX(I$2:I66)+10000)</f>
        <v>0</v>
      </c>
      <c r="L66" s="2">
        <f t="shared" si="8"/>
        <v>-0.00127244794188452</v>
      </c>
      <c r="M66" s="5">
        <f t="shared" si="2"/>
        <v>1.50724254834654e-5</v>
      </c>
    </row>
    <row r="67" spans="1:13">
      <c r="A67" t="s">
        <v>15</v>
      </c>
      <c r="B67" t="s">
        <v>16</v>
      </c>
      <c r="C67">
        <v>10</v>
      </c>
      <c r="D67" s="1">
        <v>45855.3006944444</v>
      </c>
      <c r="E67">
        <v>1.0817</v>
      </c>
      <c r="F67">
        <v>1.0605</v>
      </c>
      <c r="G67" s="2">
        <v>0.1968</v>
      </c>
      <c r="H67">
        <v>1703</v>
      </c>
      <c r="I67">
        <f t="shared" si="7"/>
        <v>92550.93</v>
      </c>
      <c r="J67" s="4">
        <f t="shared" si="9"/>
        <v>0.847317182733877</v>
      </c>
      <c r="K67" s="5">
        <f>1-(10000+I67)/(MAX(I$2:I67)+10000)</f>
        <v>0</v>
      </c>
      <c r="L67" s="2">
        <f t="shared" si="8"/>
        <v>-0.0195987796986227</v>
      </c>
      <c r="M67" s="5">
        <f t="shared" si="2"/>
        <v>0.0168868116579091</v>
      </c>
    </row>
    <row r="68" spans="1:13">
      <c r="A68" t="s">
        <v>31</v>
      </c>
      <c r="B68" t="s">
        <v>16</v>
      </c>
      <c r="C68">
        <v>20</v>
      </c>
      <c r="D68" s="1">
        <v>45855.3006944444</v>
      </c>
      <c r="E68">
        <v>118583.39</v>
      </c>
      <c r="F68">
        <v>118287.7</v>
      </c>
      <c r="G68" s="2">
        <v>0.0499</v>
      </c>
      <c r="H68">
        <v>591</v>
      </c>
      <c r="I68">
        <f t="shared" ref="I68:I99" si="10">I67+H68</f>
        <v>93141.93</v>
      </c>
      <c r="J68" s="4">
        <f t="shared" si="9"/>
        <v>2.29794405596236</v>
      </c>
      <c r="K68" s="5">
        <f>1-(10000+I68)/(MAX(I$2:I68)+10000)</f>
        <v>0</v>
      </c>
      <c r="L68" s="2">
        <f t="shared" si="8"/>
        <v>-0.00249351953928789</v>
      </c>
      <c r="M68" s="5">
        <f t="shared" ref="M68:M131" si="11">H68/(10000+I67)</f>
        <v>0.00576299015523311</v>
      </c>
    </row>
    <row r="69" spans="1:13">
      <c r="A69" t="s">
        <v>32</v>
      </c>
      <c r="B69" t="s">
        <v>14</v>
      </c>
      <c r="C69">
        <v>8</v>
      </c>
      <c r="D69" s="1">
        <v>45856.6104166667</v>
      </c>
      <c r="E69">
        <v>0.9899</v>
      </c>
      <c r="F69">
        <v>0.9936</v>
      </c>
      <c r="G69" s="2">
        <v>0.0302</v>
      </c>
      <c r="H69">
        <v>167</v>
      </c>
      <c r="I69">
        <f t="shared" si="10"/>
        <v>93308.93</v>
      </c>
      <c r="J69" s="4">
        <f t="shared" si="9"/>
        <v>0.432482170420977</v>
      </c>
      <c r="K69" s="5">
        <f>1-(10000+I69)/(MAX(I$2:I69)+10000)</f>
        <v>0</v>
      </c>
      <c r="L69" s="2">
        <f t="shared" si="8"/>
        <v>0.00373775128800902</v>
      </c>
      <c r="M69" s="5">
        <f t="shared" si="11"/>
        <v>0.00161912812761987</v>
      </c>
    </row>
    <row r="70" spans="1:13">
      <c r="A70" t="s">
        <v>32</v>
      </c>
      <c r="B70" t="s">
        <v>14</v>
      </c>
      <c r="C70">
        <v>10</v>
      </c>
      <c r="D70" s="1">
        <v>45857.5680555556</v>
      </c>
      <c r="E70">
        <v>1.0211</v>
      </c>
      <c r="F70">
        <v>1.0282</v>
      </c>
      <c r="G70" s="2">
        <v>0.0694</v>
      </c>
      <c r="H70">
        <v>708</v>
      </c>
      <c r="I70">
        <f t="shared" si="10"/>
        <v>94016.93</v>
      </c>
      <c r="J70" s="4">
        <f t="shared" si="9"/>
        <v>0.978901859506738</v>
      </c>
      <c r="K70" s="5">
        <f>1-(10000+I70)/(MAX(I$2:I70)+10000)</f>
        <v>0</v>
      </c>
      <c r="L70" s="2">
        <f t="shared" si="8"/>
        <v>0.00695328567231424</v>
      </c>
      <c r="M70" s="5">
        <f t="shared" si="11"/>
        <v>0.00685323137118931</v>
      </c>
    </row>
    <row r="71" spans="1:13">
      <c r="A71" t="s">
        <v>33</v>
      </c>
      <c r="B71" t="s">
        <v>14</v>
      </c>
      <c r="C71">
        <v>8</v>
      </c>
      <c r="D71" s="1">
        <v>45858.5277777778</v>
      </c>
      <c r="E71">
        <v>0.1195</v>
      </c>
      <c r="F71">
        <v>0.1457</v>
      </c>
      <c r="G71" s="2">
        <v>1.7527</v>
      </c>
      <c r="H71">
        <v>1550</v>
      </c>
      <c r="I71">
        <f t="shared" si="10"/>
        <v>95566.93</v>
      </c>
      <c r="J71" s="4">
        <f t="shared" si="9"/>
        <v>0.0669684766673581</v>
      </c>
      <c r="K71" s="5">
        <f>1-(10000+I71)/(MAX(I$2:I71)+10000)</f>
        <v>0</v>
      </c>
      <c r="L71" s="2">
        <f t="shared" si="8"/>
        <v>0.219246861924686</v>
      </c>
      <c r="M71" s="5">
        <f t="shared" si="11"/>
        <v>0.0149014203745486</v>
      </c>
    </row>
    <row r="72" spans="1:13">
      <c r="A72" t="s">
        <v>34</v>
      </c>
      <c r="B72" t="s">
        <v>14</v>
      </c>
      <c r="C72">
        <v>20</v>
      </c>
      <c r="D72" s="1">
        <v>45858.9048611111</v>
      </c>
      <c r="E72">
        <v>3857.99</v>
      </c>
      <c r="F72">
        <v>3856.52</v>
      </c>
      <c r="G72" s="2">
        <v>-0.0077</v>
      </c>
      <c r="H72">
        <v>-11.1</v>
      </c>
      <c r="I72">
        <f t="shared" si="10"/>
        <v>95555.83</v>
      </c>
      <c r="J72" s="4">
        <f t="shared" si="9"/>
        <v>0.275984388777865</v>
      </c>
      <c r="K72" s="5">
        <f>1-(10000+I72)/(MAX(I$2:I72)+10000)</f>
        <v>0.000105146564364444</v>
      </c>
      <c r="L72" s="2">
        <f t="shared" si="8"/>
        <v>-0.00038102742619861</v>
      </c>
      <c r="M72" s="5">
        <f t="shared" si="11"/>
        <v>-0.000105146564364427</v>
      </c>
    </row>
    <row r="73" spans="1:13">
      <c r="A73" t="s">
        <v>15</v>
      </c>
      <c r="B73" t="s">
        <v>14</v>
      </c>
      <c r="C73">
        <v>10</v>
      </c>
      <c r="D73" s="1">
        <v>45858.9256944444</v>
      </c>
      <c r="E73">
        <v>1.2323</v>
      </c>
      <c r="F73">
        <v>1.2304</v>
      </c>
      <c r="G73" s="2">
        <v>-0.0153</v>
      </c>
      <c r="H73">
        <v>-226</v>
      </c>
      <c r="I73">
        <f t="shared" si="10"/>
        <v>95329.83</v>
      </c>
      <c r="J73" s="4">
        <f t="shared" si="9"/>
        <v>1.3916175703052</v>
      </c>
      <c r="K73" s="5">
        <f>1-(10000+I73)/(MAX(I$2:I73)+10000)</f>
        <v>0.00224596850547809</v>
      </c>
      <c r="L73" s="2">
        <f t="shared" si="8"/>
        <v>-0.00154183234601968</v>
      </c>
      <c r="M73" s="5">
        <f t="shared" si="11"/>
        <v>-0.00214104706485658</v>
      </c>
    </row>
    <row r="74" spans="1:13">
      <c r="A74" t="s">
        <v>35</v>
      </c>
      <c r="B74" t="s">
        <v>14</v>
      </c>
      <c r="C74">
        <v>10</v>
      </c>
      <c r="D74" s="1">
        <v>45859.06875</v>
      </c>
      <c r="E74">
        <v>0.265</v>
      </c>
      <c r="F74">
        <v>0.2727</v>
      </c>
      <c r="G74" s="2">
        <v>0.2922</v>
      </c>
      <c r="H74">
        <v>1728</v>
      </c>
      <c r="I74">
        <f t="shared" si="10"/>
        <v>97057.83</v>
      </c>
      <c r="J74" s="4">
        <f t="shared" si="9"/>
        <v>0.555495379180859</v>
      </c>
      <c r="K74" s="5">
        <f>1-(10000+I74)/(MAX(I$2:I74)+10000)</f>
        <v>0</v>
      </c>
      <c r="L74" s="2">
        <f t="shared" si="8"/>
        <v>0.0290566037735849</v>
      </c>
      <c r="M74" s="5">
        <f t="shared" si="11"/>
        <v>0.0164056089333857</v>
      </c>
    </row>
    <row r="75" spans="1:13">
      <c r="A75" t="s">
        <v>18</v>
      </c>
      <c r="B75" t="s">
        <v>14</v>
      </c>
      <c r="C75">
        <v>10</v>
      </c>
      <c r="D75" s="1">
        <v>45859.6083333333</v>
      </c>
      <c r="E75">
        <v>3.536e-5</v>
      </c>
      <c r="F75">
        <v>3.537e-5</v>
      </c>
      <c r="G75" s="2">
        <v>0.0029</v>
      </c>
      <c r="H75">
        <v>20</v>
      </c>
      <c r="I75">
        <f t="shared" si="10"/>
        <v>97077.83</v>
      </c>
      <c r="J75" s="4">
        <f t="shared" si="9"/>
        <v>0.660454176181944</v>
      </c>
      <c r="K75" s="5">
        <f>1-(10000+I75)/(MAX(I$2:I75)+10000)</f>
        <v>0</v>
      </c>
      <c r="L75" s="2">
        <f t="shared" si="8"/>
        <v>0.000282805429864252</v>
      </c>
      <c r="M75" s="5">
        <f t="shared" si="11"/>
        <v>0.000186814920496707</v>
      </c>
    </row>
    <row r="76" spans="1:13">
      <c r="A76" t="s">
        <v>18</v>
      </c>
      <c r="B76" t="s">
        <v>14</v>
      </c>
      <c r="C76">
        <v>10</v>
      </c>
      <c r="D76" s="1">
        <v>45859.8388888889</v>
      </c>
      <c r="E76">
        <v>3.544e-5</v>
      </c>
      <c r="F76">
        <v>3.485e-5</v>
      </c>
      <c r="G76" s="2">
        <v>-0.1665</v>
      </c>
      <c r="H76">
        <v>-590</v>
      </c>
      <c r="I76">
        <f t="shared" si="10"/>
        <v>96487.83</v>
      </c>
      <c r="J76" s="4">
        <f t="shared" si="9"/>
        <v>0.332807983785566</v>
      </c>
      <c r="K76" s="5">
        <f>1-(10000+I76)/(MAX(I$2:I76)+10000)</f>
        <v>0.00551001080242286</v>
      </c>
      <c r="L76" s="2">
        <f t="shared" si="8"/>
        <v>-0.016647855530474</v>
      </c>
      <c r="M76" s="5">
        <f t="shared" si="11"/>
        <v>-0.00551001080242287</v>
      </c>
    </row>
    <row r="77" spans="1:13">
      <c r="A77" t="s">
        <v>36</v>
      </c>
      <c r="B77" t="s">
        <v>14</v>
      </c>
      <c r="C77">
        <v>10</v>
      </c>
      <c r="D77" s="1">
        <v>45860.4354166667</v>
      </c>
      <c r="E77">
        <v>204.23</v>
      </c>
      <c r="F77">
        <v>198.39</v>
      </c>
      <c r="G77" s="2">
        <v>-0.2855</v>
      </c>
      <c r="H77">
        <v>-2514</v>
      </c>
      <c r="I77">
        <f t="shared" si="10"/>
        <v>93973.83</v>
      </c>
      <c r="J77" s="4">
        <f t="shared" si="9"/>
        <v>0.845566797848562</v>
      </c>
      <c r="K77" s="5">
        <f>1-(10000+I77)/(MAX(I$2:I77)+10000)</f>
        <v>0.0289882602215603</v>
      </c>
      <c r="L77" s="2">
        <f t="shared" si="8"/>
        <v>-0.0285952112813984</v>
      </c>
      <c r="M77" s="5">
        <f t="shared" si="11"/>
        <v>-0.0236083315811769</v>
      </c>
    </row>
    <row r="78" spans="1:13">
      <c r="A78" t="s">
        <v>15</v>
      </c>
      <c r="B78" t="s">
        <v>16</v>
      </c>
      <c r="C78">
        <v>10</v>
      </c>
      <c r="D78" s="1">
        <v>45860.5520833333</v>
      </c>
      <c r="E78">
        <v>1.2371</v>
      </c>
      <c r="F78">
        <v>1.173</v>
      </c>
      <c r="G78" s="2">
        <v>0.5182</v>
      </c>
      <c r="H78">
        <v>6411</v>
      </c>
      <c r="I78">
        <f t="shared" si="10"/>
        <v>100384.83</v>
      </c>
      <c r="J78" s="4">
        <f t="shared" si="9"/>
        <v>1.12089042970833</v>
      </c>
      <c r="K78" s="5">
        <f>1-(10000+I78)/(MAX(I$2:I78)+10000)</f>
        <v>0</v>
      </c>
      <c r="L78" s="2">
        <f t="shared" si="8"/>
        <v>-0.0518147279928867</v>
      </c>
      <c r="M78" s="5">
        <f t="shared" si="11"/>
        <v>0.061659746495825</v>
      </c>
    </row>
    <row r="79" spans="1:13">
      <c r="A79" t="s">
        <v>29</v>
      </c>
      <c r="B79" t="s">
        <v>16</v>
      </c>
      <c r="C79">
        <v>8</v>
      </c>
      <c r="D79" s="1">
        <v>45860.6215277778</v>
      </c>
      <c r="E79">
        <v>0.02338</v>
      </c>
      <c r="F79">
        <v>0.02334</v>
      </c>
      <c r="G79" s="2">
        <v>0.0137</v>
      </c>
      <c r="H79">
        <v>40</v>
      </c>
      <c r="I79">
        <f t="shared" si="10"/>
        <v>100424.83</v>
      </c>
      <c r="J79" s="4">
        <f t="shared" si="9"/>
        <v>0.211727742754951</v>
      </c>
      <c r="K79" s="5">
        <f>1-(10000+I79)/(MAX(I$2:I79)+10000)</f>
        <v>0</v>
      </c>
      <c r="L79" s="2">
        <f t="shared" si="8"/>
        <v>-0.00171086398631315</v>
      </c>
      <c r="M79" s="5">
        <f t="shared" si="11"/>
        <v>0.000362368633443563</v>
      </c>
    </row>
    <row r="80" spans="1:13">
      <c r="A80" t="s">
        <v>18</v>
      </c>
      <c r="B80" t="s">
        <v>16</v>
      </c>
      <c r="C80">
        <v>10</v>
      </c>
      <c r="D80" s="1">
        <v>45860.7104166667</v>
      </c>
      <c r="E80">
        <v>3.407e-5</v>
      </c>
      <c r="F80">
        <v>3.422e-5</v>
      </c>
      <c r="G80" s="2">
        <v>-0.0441</v>
      </c>
      <c r="H80">
        <v>-225</v>
      </c>
      <c r="I80">
        <f t="shared" si="10"/>
        <v>100199.83</v>
      </c>
      <c r="J80" s="4">
        <f t="shared" si="9"/>
        <v>0.46374844679886</v>
      </c>
      <c r="K80" s="5">
        <f>1-(10000+I80)/(MAX(I$2:I80)+10000)</f>
        <v>0.00203758520615338</v>
      </c>
      <c r="L80" s="2">
        <f t="shared" si="8"/>
        <v>0.00440270032286483</v>
      </c>
      <c r="M80" s="5">
        <f t="shared" si="11"/>
        <v>-0.00203758520615336</v>
      </c>
    </row>
    <row r="81" spans="1:13">
      <c r="A81" t="s">
        <v>33</v>
      </c>
      <c r="B81" t="s">
        <v>16</v>
      </c>
      <c r="C81">
        <v>8</v>
      </c>
      <c r="D81" s="1">
        <v>45861.0625</v>
      </c>
      <c r="E81">
        <v>0.1712</v>
      </c>
      <c r="F81">
        <v>0.1692</v>
      </c>
      <c r="G81" s="2">
        <v>0.0935</v>
      </c>
      <c r="H81">
        <v>60</v>
      </c>
      <c r="I81">
        <f t="shared" si="10"/>
        <v>100259.83</v>
      </c>
      <c r="J81" s="4">
        <f t="shared" si="9"/>
        <v>0.0465808808157965</v>
      </c>
      <c r="K81" s="5">
        <f>1-(10000+I81)/(MAX(I$2:I81)+10000)</f>
        <v>0.00149422915117914</v>
      </c>
      <c r="L81" s="2">
        <f t="shared" si="8"/>
        <v>-0.0116822429906542</v>
      </c>
      <c r="M81" s="5">
        <f t="shared" si="11"/>
        <v>0.000544465449719841</v>
      </c>
    </row>
    <row r="82" spans="1:13">
      <c r="A82" t="s">
        <v>37</v>
      </c>
      <c r="B82" t="s">
        <v>16</v>
      </c>
      <c r="C82">
        <v>9</v>
      </c>
      <c r="D82" s="1">
        <v>45861.0708333333</v>
      </c>
      <c r="E82">
        <v>0.04184</v>
      </c>
      <c r="F82">
        <v>0.04262</v>
      </c>
      <c r="G82" s="2">
        <v>-0.1664</v>
      </c>
      <c r="H82">
        <v>-773</v>
      </c>
      <c r="I82">
        <f t="shared" si="10"/>
        <v>99486.83</v>
      </c>
      <c r="J82" s="4">
        <f t="shared" si="9"/>
        <v>0.378716899745049</v>
      </c>
      <c r="K82" s="5">
        <f>1-(10000+I82)/(MAX(I$2:I82)+10000)</f>
        <v>0.00849446632609718</v>
      </c>
      <c r="L82" s="2">
        <f t="shared" si="8"/>
        <v>0.0186424474187379</v>
      </c>
      <c r="M82" s="5">
        <f t="shared" si="11"/>
        <v>-0.00701071278633388</v>
      </c>
    </row>
    <row r="83" spans="1:13">
      <c r="A83" t="s">
        <v>36</v>
      </c>
      <c r="B83" t="s">
        <v>14</v>
      </c>
      <c r="C83">
        <v>10</v>
      </c>
      <c r="D83" s="1">
        <v>45862.4548611111</v>
      </c>
      <c r="E83">
        <v>191.27</v>
      </c>
      <c r="F83">
        <v>186.9</v>
      </c>
      <c r="G83" s="2">
        <v>-0.2285</v>
      </c>
      <c r="H83">
        <v>-1748</v>
      </c>
      <c r="I83">
        <f t="shared" si="10"/>
        <v>97738.83</v>
      </c>
      <c r="J83" s="4">
        <f t="shared" si="9"/>
        <v>0.710124659790718</v>
      </c>
      <c r="K83" s="5">
        <f>1-(10000+I83)/(MAX(I$2:I83)+10000)</f>
        <v>0.0243242393943464</v>
      </c>
      <c r="L83" s="2">
        <f t="shared" ref="L83:L114" si="12">F83/E83-1</f>
        <v>-0.0228472839441627</v>
      </c>
      <c r="M83" s="5">
        <f t="shared" si="11"/>
        <v>-0.0159653905405792</v>
      </c>
    </row>
    <row r="84" spans="1:13">
      <c r="A84" t="s">
        <v>18</v>
      </c>
      <c r="B84" t="s">
        <v>14</v>
      </c>
      <c r="C84">
        <v>10</v>
      </c>
      <c r="D84" s="1">
        <v>45862.7576388889</v>
      </c>
      <c r="E84">
        <v>3.506e-5</v>
      </c>
      <c r="F84">
        <v>3.222e-5</v>
      </c>
      <c r="G84" s="2">
        <v>-0.8101</v>
      </c>
      <c r="H84">
        <v>-3692</v>
      </c>
      <c r="I84">
        <f t="shared" si="10"/>
        <v>94046.83</v>
      </c>
      <c r="J84" s="4">
        <f t="shared" si="9"/>
        <v>0.438052749901174</v>
      </c>
      <c r="K84" s="5">
        <f>1-(10000+I84)/(MAX(I$2:I84)+10000)</f>
        <v>0.0577587486437606</v>
      </c>
      <c r="L84" s="2">
        <f t="shared" si="12"/>
        <v>-0.0810039931545922</v>
      </c>
      <c r="M84" s="5">
        <f t="shared" si="11"/>
        <v>-0.0342680535884787</v>
      </c>
    </row>
    <row r="85" spans="1:13">
      <c r="A85" t="s">
        <v>18</v>
      </c>
      <c r="B85" t="s">
        <v>16</v>
      </c>
      <c r="C85">
        <v>10</v>
      </c>
      <c r="D85" s="1">
        <v>45863.4416666667</v>
      </c>
      <c r="E85">
        <v>3.348e-5</v>
      </c>
      <c r="F85">
        <v>3.303e-5</v>
      </c>
      <c r="G85" s="2">
        <v>0.1345</v>
      </c>
      <c r="H85">
        <v>1035</v>
      </c>
      <c r="I85">
        <f t="shared" si="10"/>
        <v>95081.83</v>
      </c>
      <c r="J85" s="4">
        <f t="shared" si="9"/>
        <v>0.732800332845371</v>
      </c>
      <c r="K85" s="5">
        <f>1-(10000+I85)/(MAX(I$2:I85)+10000)</f>
        <v>0.0483858566954551</v>
      </c>
      <c r="L85" s="2">
        <f t="shared" si="12"/>
        <v>-0.0134408602150536</v>
      </c>
      <c r="M85" s="5">
        <f t="shared" si="11"/>
        <v>0.00994744385773214</v>
      </c>
    </row>
    <row r="86" spans="1:13">
      <c r="A86" t="s">
        <v>15</v>
      </c>
      <c r="B86" t="s">
        <v>16</v>
      </c>
      <c r="C86">
        <v>10</v>
      </c>
      <c r="D86" s="1">
        <v>45863.4423611111</v>
      </c>
      <c r="E86">
        <v>1.0158</v>
      </c>
      <c r="F86">
        <v>1.0135</v>
      </c>
      <c r="G86" s="2">
        <v>0.0223</v>
      </c>
      <c r="H86">
        <v>136</v>
      </c>
      <c r="I86">
        <f t="shared" si="10"/>
        <v>95217.83</v>
      </c>
      <c r="J86" s="4">
        <f t="shared" si="9"/>
        <v>0.570860429759619</v>
      </c>
      <c r="K86" s="5">
        <f>1-(10000+I86)/(MAX(I$2:I86)+10000)</f>
        <v>0.0471542496375136</v>
      </c>
      <c r="L86" s="2">
        <f t="shared" si="12"/>
        <v>-0.00226422524118919</v>
      </c>
      <c r="M86" s="5">
        <f t="shared" si="11"/>
        <v>0.00129422945907965</v>
      </c>
    </row>
    <row r="87" spans="1:13">
      <c r="A87" t="s">
        <v>17</v>
      </c>
      <c r="B87" t="s">
        <v>16</v>
      </c>
      <c r="C87">
        <v>10</v>
      </c>
      <c r="D87" s="1">
        <v>45863.44375</v>
      </c>
      <c r="E87">
        <v>3653.86</v>
      </c>
      <c r="F87">
        <v>3644.71</v>
      </c>
      <c r="G87" s="2">
        <v>0.0251</v>
      </c>
      <c r="H87">
        <v>183</v>
      </c>
      <c r="I87">
        <f t="shared" si="10"/>
        <v>95400.83</v>
      </c>
      <c r="J87" s="4">
        <f t="shared" si="9"/>
        <v>0.693326608528595</v>
      </c>
      <c r="K87" s="5">
        <f>1-(10000+I87)/(MAX(I$2:I87)+10000)</f>
        <v>0.0454970136698422</v>
      </c>
      <c r="L87" s="2">
        <f t="shared" si="12"/>
        <v>-0.00250420103671189</v>
      </c>
      <c r="M87" s="5">
        <f t="shared" si="11"/>
        <v>0.00173924894668518</v>
      </c>
    </row>
    <row r="88" spans="1:13">
      <c r="A88" t="s">
        <v>15</v>
      </c>
      <c r="B88" t="s">
        <v>16</v>
      </c>
      <c r="C88">
        <v>10</v>
      </c>
      <c r="D88" s="1">
        <v>45863.7131944444</v>
      </c>
      <c r="E88">
        <v>1.0426</v>
      </c>
      <c r="F88">
        <v>1.0535</v>
      </c>
      <c r="G88" s="2">
        <v>-0.1046</v>
      </c>
      <c r="H88">
        <v>-109</v>
      </c>
      <c r="I88">
        <f t="shared" si="10"/>
        <v>95291.83</v>
      </c>
      <c r="J88" s="4">
        <f t="shared" ref="J88:J119" si="13">ABS(H88/L88)/(I88+10000)</f>
        <v>0.0990200284295541</v>
      </c>
      <c r="K88" s="5">
        <f>1-(10000+I88)/(MAX(I$2:I88)+10000)</f>
        <v>0.0464841105030454</v>
      </c>
      <c r="L88" s="2">
        <f t="shared" si="12"/>
        <v>0.0104546326491466</v>
      </c>
      <c r="M88" s="5">
        <f t="shared" si="11"/>
        <v>-0.00103414745405705</v>
      </c>
    </row>
    <row r="89" spans="1:13">
      <c r="A89" t="s">
        <v>15</v>
      </c>
      <c r="B89" t="s">
        <v>16</v>
      </c>
      <c r="C89">
        <v>10</v>
      </c>
      <c r="D89" s="1">
        <v>45866.3951388889</v>
      </c>
      <c r="E89">
        <v>1.1103</v>
      </c>
      <c r="F89">
        <v>1.1112</v>
      </c>
      <c r="G89" s="2">
        <v>-0.0082</v>
      </c>
      <c r="H89">
        <v>-45</v>
      </c>
      <c r="I89">
        <f t="shared" si="10"/>
        <v>95246.83</v>
      </c>
      <c r="J89" s="4">
        <f t="shared" si="13"/>
        <v>0.527474319179045</v>
      </c>
      <c r="K89" s="5">
        <f>1-(10000+I89)/(MAX(I$2:I89)+10000)</f>
        <v>0.046891627544276</v>
      </c>
      <c r="L89" s="2">
        <f t="shared" si="12"/>
        <v>0.000810591731964294</v>
      </c>
      <c r="M89" s="5">
        <f t="shared" si="11"/>
        <v>-0.000427383587121622</v>
      </c>
    </row>
    <row r="90" spans="1:13">
      <c r="A90" t="s">
        <v>37</v>
      </c>
      <c r="B90" t="s">
        <v>16</v>
      </c>
      <c r="C90">
        <v>9</v>
      </c>
      <c r="D90" s="1">
        <v>45866.3951388889</v>
      </c>
      <c r="E90">
        <v>0.04308</v>
      </c>
      <c r="F90">
        <v>0.0423</v>
      </c>
      <c r="G90" s="2">
        <v>0.1633</v>
      </c>
      <c r="H90">
        <v>391</v>
      </c>
      <c r="I90">
        <f t="shared" si="10"/>
        <v>95637.83</v>
      </c>
      <c r="J90" s="4">
        <f t="shared" si="13"/>
        <v>0.204427057704903</v>
      </c>
      <c r="K90" s="5">
        <f>1-(10000+I90)/(MAX(I$2:I90)+10000)</f>
        <v>0.043350757252694</v>
      </c>
      <c r="L90" s="2">
        <f t="shared" si="12"/>
        <v>-0.0181058495821728</v>
      </c>
      <c r="M90" s="5">
        <f t="shared" si="11"/>
        <v>0.0037150762640547</v>
      </c>
    </row>
    <row r="91" spans="1:13">
      <c r="A91" t="s">
        <v>18</v>
      </c>
      <c r="B91" t="s">
        <v>16</v>
      </c>
      <c r="C91">
        <v>10</v>
      </c>
      <c r="D91" s="1">
        <v>45866.4222222222</v>
      </c>
      <c r="E91">
        <v>3.498e-5</v>
      </c>
      <c r="F91">
        <v>2.717e-5</v>
      </c>
      <c r="G91" s="2">
        <v>2.2328</v>
      </c>
      <c r="H91">
        <v>21900</v>
      </c>
      <c r="I91">
        <f t="shared" si="10"/>
        <v>117537.83</v>
      </c>
      <c r="J91" s="4">
        <f t="shared" si="13"/>
        <v>0.769084152863993</v>
      </c>
      <c r="K91" s="5">
        <f>1-(10000+I91)/(MAX(I$2:I91)+10000)</f>
        <v>0</v>
      </c>
      <c r="L91" s="2">
        <f t="shared" si="12"/>
        <v>-0.223270440251572</v>
      </c>
      <c r="M91" s="5">
        <f t="shared" si="11"/>
        <v>0.207312096433636</v>
      </c>
    </row>
    <row r="92" spans="1:13">
      <c r="A92" t="s">
        <v>15</v>
      </c>
      <c r="B92" t="s">
        <v>16</v>
      </c>
      <c r="C92">
        <v>10</v>
      </c>
      <c r="D92" s="1">
        <v>45867.0722222222</v>
      </c>
      <c r="E92">
        <v>1.0728</v>
      </c>
      <c r="F92">
        <v>0.9915</v>
      </c>
      <c r="G92" s="2">
        <v>0.7579</v>
      </c>
      <c r="H92">
        <v>4065</v>
      </c>
      <c r="I92">
        <f t="shared" si="10"/>
        <v>121602.83</v>
      </c>
      <c r="J92" s="4">
        <f t="shared" si="13"/>
        <v>0.407590019150804</v>
      </c>
      <c r="K92" s="5">
        <f>1-(10000+I92)/(MAX(I$2:I92)+10000)</f>
        <v>0</v>
      </c>
      <c r="L92" s="2">
        <f t="shared" si="12"/>
        <v>-0.0757829977628635</v>
      </c>
      <c r="M92" s="5">
        <f t="shared" si="11"/>
        <v>0.0318728960654262</v>
      </c>
    </row>
    <row r="93" spans="1:13">
      <c r="A93" t="s">
        <v>38</v>
      </c>
      <c r="B93" t="s">
        <v>14</v>
      </c>
      <c r="C93">
        <v>10</v>
      </c>
      <c r="D93" s="1">
        <v>45869.3111111111</v>
      </c>
      <c r="E93">
        <v>110.73</v>
      </c>
      <c r="F93">
        <v>110.41</v>
      </c>
      <c r="G93" s="2">
        <v>-0.0289</v>
      </c>
      <c r="H93">
        <v>-96</v>
      </c>
      <c r="I93">
        <f t="shared" si="10"/>
        <v>121506.83</v>
      </c>
      <c r="J93" s="4">
        <f t="shared" si="13"/>
        <v>0.252602849601042</v>
      </c>
      <c r="K93" s="5">
        <f>1-(10000+I93)/(MAX(I$2:I93)+10000)</f>
        <v>0.000729467595795619</v>
      </c>
      <c r="L93" s="2">
        <f t="shared" si="12"/>
        <v>-0.0028899123995304</v>
      </c>
      <c r="M93" s="5">
        <f t="shared" si="11"/>
        <v>-0.000729467595795622</v>
      </c>
    </row>
    <row r="94" spans="1:13">
      <c r="A94" t="s">
        <v>33</v>
      </c>
      <c r="B94" t="s">
        <v>14</v>
      </c>
      <c r="C94">
        <v>8</v>
      </c>
      <c r="D94" s="1">
        <v>45869.5284722222</v>
      </c>
      <c r="E94">
        <v>0.2202</v>
      </c>
      <c r="F94">
        <v>0.2139</v>
      </c>
      <c r="G94" s="2">
        <v>-0.2279</v>
      </c>
      <c r="H94">
        <v>-1129</v>
      </c>
      <c r="I94">
        <f t="shared" si="10"/>
        <v>120377.83</v>
      </c>
      <c r="J94" s="4">
        <f t="shared" si="13"/>
        <v>0.302668314814244</v>
      </c>
      <c r="K94" s="5">
        <f>1-(10000+I94)/(MAX(I$2:I94)+10000)</f>
        <v>0.00930831046718372</v>
      </c>
      <c r="L94" s="2">
        <f t="shared" si="12"/>
        <v>-0.0286103542234333</v>
      </c>
      <c r="M94" s="5">
        <f t="shared" si="11"/>
        <v>-0.00858510542760403</v>
      </c>
    </row>
    <row r="95" spans="1:13">
      <c r="A95" t="s">
        <v>37</v>
      </c>
      <c r="B95" t="s">
        <v>16</v>
      </c>
      <c r="C95">
        <v>9</v>
      </c>
      <c r="D95" s="1">
        <v>45870.9222222222</v>
      </c>
      <c r="E95">
        <v>0.03376</v>
      </c>
      <c r="F95">
        <v>0.03516</v>
      </c>
      <c r="G95" s="2">
        <v>-0.3731</v>
      </c>
      <c r="H95">
        <v>-2799</v>
      </c>
      <c r="I95">
        <f t="shared" si="10"/>
        <v>117578.83</v>
      </c>
      <c r="J95" s="4">
        <f t="shared" si="13"/>
        <v>0.529052396187405</v>
      </c>
      <c r="K95" s="5">
        <f>1-(10000+I95)/(MAX(I$2:I95)+10000)</f>
        <v>0.0305768500570999</v>
      </c>
      <c r="L95" s="2">
        <f t="shared" si="12"/>
        <v>0.0414691943127963</v>
      </c>
      <c r="M95" s="5">
        <f t="shared" si="11"/>
        <v>-0.0214683738792094</v>
      </c>
    </row>
    <row r="96" spans="1:13">
      <c r="A96" t="s">
        <v>15</v>
      </c>
      <c r="B96" t="s">
        <v>16</v>
      </c>
      <c r="C96">
        <v>10</v>
      </c>
      <c r="D96" s="1">
        <v>45870.9555555556</v>
      </c>
      <c r="E96">
        <v>0.9124</v>
      </c>
      <c r="F96">
        <v>0.8837</v>
      </c>
      <c r="G96" s="2">
        <v>0.3138</v>
      </c>
      <c r="H96">
        <v>573</v>
      </c>
      <c r="I96">
        <f t="shared" si="10"/>
        <v>118151.83</v>
      </c>
      <c r="J96" s="4">
        <f t="shared" si="13"/>
        <v>0.142145524252237</v>
      </c>
      <c r="K96" s="5">
        <f>1-(10000+I96)/(MAX(I$2:I96)+10000)</f>
        <v>0.0262228403446947</v>
      </c>
      <c r="L96" s="2">
        <f t="shared" si="12"/>
        <v>-0.0314555019728189</v>
      </c>
      <c r="M96" s="5">
        <f t="shared" si="11"/>
        <v>0.00449134076554864</v>
      </c>
    </row>
    <row r="97" spans="1:13">
      <c r="A97" t="s">
        <v>34</v>
      </c>
      <c r="B97" t="s">
        <v>14</v>
      </c>
      <c r="C97">
        <v>10</v>
      </c>
      <c r="D97" s="1">
        <v>45871.5215277778</v>
      </c>
      <c r="E97">
        <v>3650.22</v>
      </c>
      <c r="F97">
        <v>4752.26</v>
      </c>
      <c r="G97" s="2">
        <v>3.0192</v>
      </c>
      <c r="H97">
        <v>143000</v>
      </c>
      <c r="I97">
        <f t="shared" si="10"/>
        <v>261151.83</v>
      </c>
      <c r="J97" s="4">
        <f t="shared" si="13"/>
        <v>1.74680803070858</v>
      </c>
      <c r="K97" s="5">
        <f>1-(10000+I97)/(MAX(I$2:I97)+10000)</f>
        <v>0</v>
      </c>
      <c r="L97" s="2">
        <f t="shared" si="12"/>
        <v>0.301910569773877</v>
      </c>
      <c r="M97" s="5">
        <f t="shared" si="11"/>
        <v>1.11586389363304</v>
      </c>
    </row>
    <row r="98" spans="1:13">
      <c r="A98" t="s">
        <v>17</v>
      </c>
      <c r="B98" t="s">
        <v>14</v>
      </c>
      <c r="C98">
        <v>10</v>
      </c>
      <c r="D98" s="1">
        <v>45880.70625</v>
      </c>
      <c r="E98">
        <v>4535.54</v>
      </c>
      <c r="F98">
        <v>4530.55</v>
      </c>
      <c r="G98" s="2">
        <v>-0.0111</v>
      </c>
      <c r="H98">
        <v>-150</v>
      </c>
      <c r="I98">
        <f t="shared" si="10"/>
        <v>261001.83</v>
      </c>
      <c r="J98" s="4">
        <f t="shared" si="13"/>
        <v>0.503092092608821</v>
      </c>
      <c r="K98" s="5">
        <f>1-(10000+I98)/(MAX(I$2:I98)+10000)</f>
        <v>0.000553195602626011</v>
      </c>
      <c r="L98" s="2">
        <f t="shared" si="12"/>
        <v>-0.00110019975570708</v>
      </c>
      <c r="M98" s="5">
        <f t="shared" si="11"/>
        <v>-0.000553195602626027</v>
      </c>
    </row>
    <row r="99" spans="1:13">
      <c r="A99" t="s">
        <v>37</v>
      </c>
      <c r="B99" t="s">
        <v>14</v>
      </c>
      <c r="C99">
        <v>8</v>
      </c>
      <c r="D99" s="1">
        <v>45882.73125</v>
      </c>
      <c r="E99">
        <v>0.03749</v>
      </c>
      <c r="F99">
        <v>0.03698</v>
      </c>
      <c r="G99" s="2">
        <v>-0.1086</v>
      </c>
      <c r="H99">
        <v>-509</v>
      </c>
      <c r="I99">
        <f t="shared" si="10"/>
        <v>260492.83</v>
      </c>
      <c r="J99" s="4">
        <f t="shared" si="13"/>
        <v>0.138327105365706</v>
      </c>
      <c r="K99" s="5">
        <f>1-(10000+I99)/(MAX(I$2:I99)+10000)</f>
        <v>0.00243037268087032</v>
      </c>
      <c r="L99" s="2">
        <f t="shared" si="12"/>
        <v>-0.0136036276340359</v>
      </c>
      <c r="M99" s="5">
        <f t="shared" si="11"/>
        <v>-0.00187821609913114</v>
      </c>
    </row>
    <row r="100" spans="1:13">
      <c r="A100" t="s">
        <v>39</v>
      </c>
      <c r="B100" t="s">
        <v>14</v>
      </c>
      <c r="C100">
        <v>10</v>
      </c>
      <c r="D100" s="1">
        <v>45884.0743055556</v>
      </c>
      <c r="E100">
        <v>0.5279</v>
      </c>
      <c r="F100">
        <v>0.5284</v>
      </c>
      <c r="G100" s="2">
        <v>0.0086</v>
      </c>
      <c r="H100">
        <v>90</v>
      </c>
      <c r="I100">
        <f t="shared" ref="I100:I131" si="14">I99+H100</f>
        <v>260582.83</v>
      </c>
      <c r="J100" s="4">
        <f t="shared" si="13"/>
        <v>0.351175275977425</v>
      </c>
      <c r="K100" s="5">
        <f>1-(10000+I100)/(MAX(I$2:I100)+10000)</f>
        <v>0.00209845531929476</v>
      </c>
      <c r="L100" s="2">
        <f t="shared" si="12"/>
        <v>0.000947149081265364</v>
      </c>
      <c r="M100" s="5">
        <f t="shared" si="11"/>
        <v>0.000332726009780001</v>
      </c>
    </row>
    <row r="101" spans="1:13">
      <c r="A101" t="s">
        <v>17</v>
      </c>
      <c r="B101" t="s">
        <v>14</v>
      </c>
      <c r="C101">
        <v>10</v>
      </c>
      <c r="D101" s="1">
        <v>45884.4263888889</v>
      </c>
      <c r="E101">
        <v>4616.99</v>
      </c>
      <c r="F101">
        <v>4634.35</v>
      </c>
      <c r="G101" s="2">
        <v>0.0377</v>
      </c>
      <c r="H101">
        <v>174</v>
      </c>
      <c r="I101">
        <f t="shared" si="14"/>
        <v>260756.83</v>
      </c>
      <c r="J101" s="4">
        <f t="shared" si="13"/>
        <v>0.170914551843666</v>
      </c>
      <c r="K101" s="5">
        <f>1-(10000+I101)/(MAX(I$2:I101)+10000)</f>
        <v>0.00145674842024857</v>
      </c>
      <c r="L101" s="2">
        <f t="shared" si="12"/>
        <v>0.00376002547114052</v>
      </c>
      <c r="M101" s="5">
        <f t="shared" si="11"/>
        <v>0.000643056324009916</v>
      </c>
    </row>
    <row r="102" spans="1:13">
      <c r="A102" t="s">
        <v>17</v>
      </c>
      <c r="B102" t="s">
        <v>14</v>
      </c>
      <c r="C102">
        <v>10</v>
      </c>
      <c r="D102" s="1">
        <v>45885.9138888889</v>
      </c>
      <c r="E102">
        <v>4329.13</v>
      </c>
      <c r="F102">
        <v>4431.65</v>
      </c>
      <c r="G102" s="2">
        <v>0.2369</v>
      </c>
      <c r="H102">
        <v>15900</v>
      </c>
      <c r="I102">
        <f t="shared" si="14"/>
        <v>276656.83</v>
      </c>
      <c r="J102" s="4">
        <f t="shared" si="13"/>
        <v>2.34221555246649</v>
      </c>
      <c r="K102" s="5">
        <f>1-(10000+I102)/(MAX(I$2:I102)+10000)</f>
        <v>0</v>
      </c>
      <c r="L102" s="2">
        <f t="shared" si="12"/>
        <v>0.0236814325280137</v>
      </c>
      <c r="M102" s="5">
        <f t="shared" si="11"/>
        <v>0.0587242803810342</v>
      </c>
    </row>
    <row r="103" spans="1:13">
      <c r="A103" t="s">
        <v>34</v>
      </c>
      <c r="B103" t="s">
        <v>14</v>
      </c>
      <c r="C103">
        <v>10</v>
      </c>
      <c r="D103" s="1">
        <v>45886.3861111111</v>
      </c>
      <c r="E103">
        <v>4596.57</v>
      </c>
      <c r="F103">
        <v>4809.35</v>
      </c>
      <c r="G103" s="2">
        <v>0.463</v>
      </c>
      <c r="H103">
        <v>12800</v>
      </c>
      <c r="I103">
        <f t="shared" si="14"/>
        <v>289456.83</v>
      </c>
      <c r="J103" s="4">
        <f t="shared" si="13"/>
        <v>0.923376506214615</v>
      </c>
      <c r="K103" s="5">
        <f>1-(10000+I103)/(MAX(I$2:I103)+10000)</f>
        <v>0</v>
      </c>
      <c r="L103" s="2">
        <f t="shared" si="12"/>
        <v>0.0462910387528093</v>
      </c>
      <c r="M103" s="5">
        <f t="shared" si="11"/>
        <v>0.0446526950011971</v>
      </c>
    </row>
    <row r="104" spans="1:13">
      <c r="A104" t="s">
        <v>15</v>
      </c>
      <c r="B104" t="s">
        <v>16</v>
      </c>
      <c r="C104">
        <v>10</v>
      </c>
      <c r="D104" s="1">
        <v>45886.7173611111</v>
      </c>
      <c r="E104">
        <v>0.8999</v>
      </c>
      <c r="F104">
        <v>0.8914</v>
      </c>
      <c r="G104" s="2">
        <v>0.0945</v>
      </c>
      <c r="H104">
        <v>0.85</v>
      </c>
      <c r="I104">
        <f t="shared" si="14"/>
        <v>289457.68</v>
      </c>
      <c r="J104" s="4">
        <f t="shared" si="13"/>
        <v>0.000300509908445158</v>
      </c>
      <c r="K104" s="5">
        <f>1-(10000+I104)/(MAX(I$2:I104)+10000)</f>
        <v>0</v>
      </c>
      <c r="L104" s="2">
        <f t="shared" si="12"/>
        <v>-0.00944549394377159</v>
      </c>
      <c r="M104" s="5">
        <f t="shared" si="11"/>
        <v>2.8384725771658e-6</v>
      </c>
    </row>
    <row r="105" spans="1:13">
      <c r="A105" t="s">
        <v>39</v>
      </c>
      <c r="B105" t="s">
        <v>14</v>
      </c>
      <c r="C105">
        <v>10</v>
      </c>
      <c r="D105" s="1">
        <v>45886.9916666667</v>
      </c>
      <c r="E105">
        <v>0.5482</v>
      </c>
      <c r="F105">
        <v>0.5226</v>
      </c>
      <c r="G105" s="2">
        <v>-0.467</v>
      </c>
      <c r="H105">
        <v>-512</v>
      </c>
      <c r="I105">
        <f t="shared" si="14"/>
        <v>288945.68</v>
      </c>
      <c r="J105" s="4">
        <f t="shared" si="13"/>
        <v>0.0366755592521021</v>
      </c>
      <c r="K105" s="5">
        <f>1-(10000+I105)/(MAX(I$2:I105)+10000)</f>
        <v>0.00170975745220492</v>
      </c>
      <c r="L105" s="2">
        <f t="shared" si="12"/>
        <v>-0.0466982852973369</v>
      </c>
      <c r="M105" s="5">
        <f t="shared" si="11"/>
        <v>-0.00170975745220493</v>
      </c>
    </row>
    <row r="106" spans="1:13">
      <c r="A106" t="s">
        <v>39</v>
      </c>
      <c r="B106" t="s">
        <v>14</v>
      </c>
      <c r="C106">
        <v>10</v>
      </c>
      <c r="D106" s="1">
        <v>45892.16875</v>
      </c>
      <c r="E106">
        <v>0.5998</v>
      </c>
      <c r="F106">
        <v>0.5744</v>
      </c>
      <c r="G106" s="2">
        <v>-0.4235</v>
      </c>
      <c r="H106">
        <v>-762</v>
      </c>
      <c r="I106">
        <f t="shared" si="14"/>
        <v>288183.68</v>
      </c>
      <c r="J106" s="4">
        <f t="shared" si="13"/>
        <v>0.0603453549168084</v>
      </c>
      <c r="K106" s="5">
        <f>1-(10000+I106)/(MAX(I$2:I106)+10000)</f>
        <v>0.00425435741036928</v>
      </c>
      <c r="L106" s="2">
        <f t="shared" si="12"/>
        <v>-0.0423474491497166</v>
      </c>
      <c r="M106" s="5">
        <f t="shared" si="11"/>
        <v>-0.00254895805819974</v>
      </c>
    </row>
    <row r="107" spans="1:13">
      <c r="A107" t="s">
        <v>15</v>
      </c>
      <c r="B107" t="s">
        <v>16</v>
      </c>
      <c r="C107">
        <v>10</v>
      </c>
      <c r="D107" s="1">
        <v>45892.4513888889</v>
      </c>
      <c r="E107">
        <v>0.8661</v>
      </c>
      <c r="F107">
        <v>0.7852</v>
      </c>
      <c r="G107" s="2">
        <v>0.9349</v>
      </c>
      <c r="H107">
        <v>8098</v>
      </c>
      <c r="I107">
        <f t="shared" si="14"/>
        <v>296281.68</v>
      </c>
      <c r="J107" s="4">
        <f t="shared" si="13"/>
        <v>0.283058544269224</v>
      </c>
      <c r="K107" s="5">
        <f>1-(10000+I107)/(MAX(I$2:I107)+10000)</f>
        <v>0</v>
      </c>
      <c r="L107" s="2">
        <f t="shared" si="12"/>
        <v>-0.0934072278027941</v>
      </c>
      <c r="M107" s="5">
        <f t="shared" si="11"/>
        <v>0.0271577572588815</v>
      </c>
    </row>
    <row r="108" spans="1:13">
      <c r="A108" t="s">
        <v>37</v>
      </c>
      <c r="B108" t="s">
        <v>16</v>
      </c>
      <c r="C108">
        <v>10</v>
      </c>
      <c r="D108" s="1">
        <v>45892.4520833333</v>
      </c>
      <c r="E108">
        <v>0.03532</v>
      </c>
      <c r="F108">
        <v>0.03042</v>
      </c>
      <c r="G108" s="2">
        <v>1.3861</v>
      </c>
      <c r="H108">
        <v>14700</v>
      </c>
      <c r="I108">
        <f t="shared" si="14"/>
        <v>310981.68</v>
      </c>
      <c r="J108" s="4">
        <f t="shared" si="13"/>
        <v>0.330112297997817</v>
      </c>
      <c r="K108" s="5">
        <f>1-(10000+I108)/(MAX(I$2:I108)+10000)</f>
        <v>0</v>
      </c>
      <c r="L108" s="2">
        <f t="shared" si="12"/>
        <v>-0.138731596828992</v>
      </c>
      <c r="M108" s="5">
        <f t="shared" si="11"/>
        <v>0.0479950351584855</v>
      </c>
    </row>
    <row r="109" spans="1:13">
      <c r="A109" t="s">
        <v>18</v>
      </c>
      <c r="B109" t="s">
        <v>16</v>
      </c>
      <c r="C109">
        <v>10</v>
      </c>
      <c r="D109" s="1">
        <v>45892.4527777778</v>
      </c>
      <c r="E109">
        <v>2.192e-5</v>
      </c>
      <c r="F109">
        <v>2.053e-5</v>
      </c>
      <c r="G109" s="2">
        <v>0.6342</v>
      </c>
      <c r="H109">
        <v>4170</v>
      </c>
      <c r="I109">
        <f t="shared" si="14"/>
        <v>315151.68</v>
      </c>
      <c r="J109" s="4">
        <f t="shared" si="13"/>
        <v>0.202244072674021</v>
      </c>
      <c r="K109" s="5">
        <f>1-(10000+I109)/(MAX(I$2:I109)+10000)</f>
        <v>0</v>
      </c>
      <c r="L109" s="2">
        <f t="shared" si="12"/>
        <v>-0.063412408759124</v>
      </c>
      <c r="M109" s="5">
        <f t="shared" si="11"/>
        <v>0.012991395646007</v>
      </c>
    </row>
    <row r="110" spans="1:13">
      <c r="A110" t="s">
        <v>36</v>
      </c>
      <c r="B110" t="s">
        <v>14</v>
      </c>
      <c r="C110">
        <v>10</v>
      </c>
      <c r="D110" s="1">
        <v>45895.7263888889</v>
      </c>
      <c r="E110">
        <v>189.42</v>
      </c>
      <c r="F110">
        <v>202.71</v>
      </c>
      <c r="G110" s="2">
        <v>0.7014</v>
      </c>
      <c r="H110">
        <v>26600</v>
      </c>
      <c r="I110">
        <f t="shared" si="14"/>
        <v>341751.68</v>
      </c>
      <c r="J110" s="4">
        <f t="shared" si="13"/>
        <v>1.077820172553</v>
      </c>
      <c r="K110" s="5">
        <f>1-(10000+I110)/(MAX(I$2:I110)+10000)</f>
        <v>0</v>
      </c>
      <c r="L110" s="2">
        <f t="shared" si="12"/>
        <v>0.0701615457713021</v>
      </c>
      <c r="M110" s="5">
        <f t="shared" si="11"/>
        <v>0.0818079734356593</v>
      </c>
    </row>
    <row r="111" spans="1:13">
      <c r="A111" t="s">
        <v>37</v>
      </c>
      <c r="B111" t="s">
        <v>16</v>
      </c>
      <c r="C111">
        <v>10</v>
      </c>
      <c r="D111" s="1">
        <v>45896.7923611111</v>
      </c>
      <c r="E111">
        <v>0.03094</v>
      </c>
      <c r="F111">
        <v>0.03016</v>
      </c>
      <c r="G111" s="2">
        <v>0.2525</v>
      </c>
      <c r="H111">
        <v>3906</v>
      </c>
      <c r="I111">
        <f t="shared" si="14"/>
        <v>345657.68</v>
      </c>
      <c r="J111" s="4">
        <f t="shared" si="13"/>
        <v>0.435637998875773</v>
      </c>
      <c r="K111" s="5">
        <f>1-(10000+I111)/(MAX(I$2:I111)+10000)</f>
        <v>0</v>
      </c>
      <c r="L111" s="2">
        <f t="shared" si="12"/>
        <v>-0.0252100840336135</v>
      </c>
      <c r="M111" s="5">
        <f t="shared" si="11"/>
        <v>0.0111044245758826</v>
      </c>
    </row>
    <row r="112" spans="1:13">
      <c r="A112" t="s">
        <v>37</v>
      </c>
      <c r="B112" t="s">
        <v>16</v>
      </c>
      <c r="C112">
        <v>10</v>
      </c>
      <c r="D112" s="1">
        <v>45896.7923611111</v>
      </c>
      <c r="E112">
        <v>0.03094</v>
      </c>
      <c r="F112">
        <v>0.03016</v>
      </c>
      <c r="G112" s="2">
        <v>0.2525</v>
      </c>
      <c r="H112">
        <v>3906</v>
      </c>
      <c r="I112">
        <f t="shared" si="14"/>
        <v>349563.68</v>
      </c>
      <c r="J112" s="4">
        <f t="shared" si="13"/>
        <v>0.430905590909515</v>
      </c>
      <c r="K112" s="5">
        <f>1-(10000+I112)/(MAX(I$2:I112)+10000)</f>
        <v>0</v>
      </c>
      <c r="L112" s="2">
        <f t="shared" si="12"/>
        <v>-0.0252100840336135</v>
      </c>
      <c r="M112" s="5">
        <f t="shared" si="11"/>
        <v>0.0109824705598934</v>
      </c>
    </row>
    <row r="113" spans="1:13">
      <c r="A113" t="s">
        <v>18</v>
      </c>
      <c r="B113" t="s">
        <v>16</v>
      </c>
      <c r="C113">
        <v>8</v>
      </c>
      <c r="D113" s="1">
        <v>45896.96875</v>
      </c>
      <c r="E113">
        <v>2.143e-5</v>
      </c>
      <c r="F113">
        <v>2.11e-5</v>
      </c>
      <c r="G113" s="2">
        <v>0.1232</v>
      </c>
      <c r="H113">
        <v>1650</v>
      </c>
      <c r="I113">
        <f t="shared" si="14"/>
        <v>351213.68</v>
      </c>
      <c r="J113" s="4">
        <f t="shared" si="13"/>
        <v>0.296638820545226</v>
      </c>
      <c r="K113" s="5">
        <f>1-(10000+I113)/(MAX(I$2:I113)+10000)</f>
        <v>0</v>
      </c>
      <c r="L113" s="2">
        <f t="shared" si="12"/>
        <v>-0.0153989734017731</v>
      </c>
      <c r="M113" s="5">
        <f t="shared" si="11"/>
        <v>0.00458889507416322</v>
      </c>
    </row>
    <row r="114" spans="1:13">
      <c r="A114" t="s">
        <v>15</v>
      </c>
      <c r="B114" t="s">
        <v>16</v>
      </c>
      <c r="C114">
        <v>8</v>
      </c>
      <c r="D114" s="1">
        <v>45896.9798611111</v>
      </c>
      <c r="E114">
        <v>0.8235</v>
      </c>
      <c r="F114">
        <v>0.8214</v>
      </c>
      <c r="G114" s="2">
        <v>0.0203</v>
      </c>
      <c r="H114">
        <v>250</v>
      </c>
      <c r="I114">
        <f t="shared" si="14"/>
        <v>351463.68</v>
      </c>
      <c r="J114" s="4">
        <f t="shared" si="13"/>
        <v>0.271218713552954</v>
      </c>
      <c r="K114" s="5">
        <f>1-(10000+I114)/(MAX(I$2:I114)+10000)</f>
        <v>0</v>
      </c>
      <c r="L114" s="2">
        <f t="shared" si="12"/>
        <v>-0.00255009107468118</v>
      </c>
      <c r="M114" s="5">
        <f t="shared" si="11"/>
        <v>0.000692111107198376</v>
      </c>
    </row>
    <row r="115" spans="1:13">
      <c r="A115" t="s">
        <v>17</v>
      </c>
      <c r="B115" t="s">
        <v>16</v>
      </c>
      <c r="C115">
        <v>10</v>
      </c>
      <c r="D115" s="1">
        <v>45897.4270833333</v>
      </c>
      <c r="E115">
        <v>4500.76</v>
      </c>
      <c r="F115">
        <v>4325.72</v>
      </c>
      <c r="G115" s="2">
        <v>0.389</v>
      </c>
      <c r="H115">
        <v>36800</v>
      </c>
      <c r="I115">
        <f t="shared" si="14"/>
        <v>388263.68</v>
      </c>
      <c r="J115" s="4">
        <f t="shared" si="13"/>
        <v>2.37588637371362</v>
      </c>
      <c r="K115" s="5">
        <f>1-(10000+I115)/(MAX(I$2:I115)+10000)</f>
        <v>0</v>
      </c>
      <c r="L115" s="2">
        <f t="shared" ref="L115:L146" si="15">F115/E115-1</f>
        <v>-0.0388912094846203</v>
      </c>
      <c r="M115" s="5">
        <f t="shared" si="11"/>
        <v>0.101808292329675</v>
      </c>
    </row>
    <row r="116" spans="1:13">
      <c r="A116" t="s">
        <v>18</v>
      </c>
      <c r="B116" t="s">
        <v>14</v>
      </c>
      <c r="C116">
        <v>8</v>
      </c>
      <c r="D116" s="1">
        <v>45899.8958333333</v>
      </c>
      <c r="E116">
        <v>2.177e-5</v>
      </c>
      <c r="F116">
        <v>2.262e-5</v>
      </c>
      <c r="G116" s="2">
        <v>0.3124</v>
      </c>
      <c r="H116">
        <v>2550</v>
      </c>
      <c r="I116">
        <f t="shared" si="14"/>
        <v>390813.68</v>
      </c>
      <c r="J116" s="4">
        <f t="shared" si="13"/>
        <v>0.162943540250423</v>
      </c>
      <c r="K116" s="5">
        <f>1-(10000+I116)/(MAX(I$2:I116)+10000)</f>
        <v>0</v>
      </c>
      <c r="L116" s="2">
        <f t="shared" si="15"/>
        <v>0.0390445567294442</v>
      </c>
      <c r="M116" s="5">
        <f t="shared" si="11"/>
        <v>0.00640279324491754</v>
      </c>
    </row>
    <row r="117" spans="1:13">
      <c r="A117" t="s">
        <v>36</v>
      </c>
      <c r="B117" t="s">
        <v>16</v>
      </c>
      <c r="C117">
        <v>10</v>
      </c>
      <c r="D117" s="1">
        <v>45901.4409722222</v>
      </c>
      <c r="E117">
        <v>204.03</v>
      </c>
      <c r="F117">
        <v>202.99</v>
      </c>
      <c r="G117" s="2">
        <v>0.0509</v>
      </c>
      <c r="H117">
        <v>5187</v>
      </c>
      <c r="I117">
        <f t="shared" si="14"/>
        <v>396000.68</v>
      </c>
      <c r="J117" s="4">
        <f t="shared" si="13"/>
        <v>2.50639881933205</v>
      </c>
      <c r="K117" s="5">
        <f>1-(10000+I117)/(MAX(I$2:I117)+10000)</f>
        <v>0</v>
      </c>
      <c r="L117" s="2">
        <f t="shared" si="15"/>
        <v>-0.00509728961427236</v>
      </c>
      <c r="M117" s="5">
        <f t="shared" si="11"/>
        <v>0.0129411750616895</v>
      </c>
    </row>
    <row r="118" spans="1:13">
      <c r="A118" t="s">
        <v>40</v>
      </c>
      <c r="B118" t="s">
        <v>16</v>
      </c>
      <c r="C118">
        <v>10</v>
      </c>
      <c r="D118" s="1">
        <v>45901.6298611111</v>
      </c>
      <c r="E118">
        <v>0.3225</v>
      </c>
      <c r="F118">
        <v>0.25</v>
      </c>
      <c r="G118" s="2">
        <v>2.2484</v>
      </c>
      <c r="H118">
        <v>21800</v>
      </c>
      <c r="I118">
        <f t="shared" si="14"/>
        <v>417800.68</v>
      </c>
      <c r="J118" s="4">
        <f t="shared" si="13"/>
        <v>0.226676623779802</v>
      </c>
      <c r="K118" s="5">
        <f>1-(10000+I118)/(MAX(I$2:I118)+10000)</f>
        <v>0</v>
      </c>
      <c r="L118" s="2">
        <f t="shared" si="15"/>
        <v>-0.224806201550388</v>
      </c>
      <c r="M118" s="5">
        <f t="shared" si="11"/>
        <v>0.0536944913491278</v>
      </c>
    </row>
    <row r="119" spans="1:13">
      <c r="A119" t="s">
        <v>37</v>
      </c>
      <c r="B119" t="s">
        <v>14</v>
      </c>
      <c r="C119">
        <v>10</v>
      </c>
      <c r="D119" s="1">
        <v>45902.4965277778</v>
      </c>
      <c r="E119">
        <v>0.02906</v>
      </c>
      <c r="F119">
        <v>0.02941</v>
      </c>
      <c r="G119" s="2">
        <v>0.1188</v>
      </c>
      <c r="H119">
        <v>1380</v>
      </c>
      <c r="I119">
        <f t="shared" si="14"/>
        <v>419180.68</v>
      </c>
      <c r="J119" s="4">
        <f t="shared" si="13"/>
        <v>0.266972475488479</v>
      </c>
      <c r="K119" s="5">
        <f>1-(10000+I119)/(MAX(I$2:I119)+10000)</f>
        <v>0</v>
      </c>
      <c r="L119" s="2">
        <f t="shared" si="15"/>
        <v>0.0120440467997247</v>
      </c>
      <c r="M119" s="5">
        <f t="shared" si="11"/>
        <v>0.00322580132411197</v>
      </c>
    </row>
    <row r="120" spans="1:13">
      <c r="A120" t="s">
        <v>31</v>
      </c>
      <c r="B120" t="s">
        <v>14</v>
      </c>
      <c r="C120">
        <v>10</v>
      </c>
      <c r="D120" s="1">
        <v>45908.4125</v>
      </c>
      <c r="E120">
        <v>110872.36</v>
      </c>
      <c r="F120">
        <v>115764.67</v>
      </c>
      <c r="G120" s="2">
        <v>0.4413</v>
      </c>
      <c r="H120">
        <v>63600</v>
      </c>
      <c r="I120">
        <f t="shared" si="14"/>
        <v>482780.68</v>
      </c>
      <c r="J120" s="4">
        <f t="shared" ref="J120:J151" si="16">ABS(H120/L120)/(I120+10000)</f>
        <v>2.92491174800653</v>
      </c>
      <c r="K120" s="5">
        <f>1-(10000+I120)/(MAX(I$2:I120)+10000)</f>
        <v>0</v>
      </c>
      <c r="L120" s="2">
        <f t="shared" si="15"/>
        <v>0.0441256053357211</v>
      </c>
      <c r="M120" s="5">
        <f t="shared" si="11"/>
        <v>0.148189336015778</v>
      </c>
    </row>
    <row r="121" spans="1:13">
      <c r="A121" t="s">
        <v>37</v>
      </c>
      <c r="B121" t="s">
        <v>14</v>
      </c>
      <c r="C121">
        <v>8</v>
      </c>
      <c r="D121" s="1">
        <v>45909.0347222222</v>
      </c>
      <c r="E121">
        <v>0.03368</v>
      </c>
      <c r="F121">
        <v>0.03636</v>
      </c>
      <c r="G121" s="2">
        <v>0.636</v>
      </c>
      <c r="H121">
        <v>18700</v>
      </c>
      <c r="I121">
        <f t="shared" si="14"/>
        <v>501480.68</v>
      </c>
      <c r="J121" s="4">
        <f t="shared" si="16"/>
        <v>0.459462066385877</v>
      </c>
      <c r="K121" s="5">
        <f>1-(10000+I121)/(MAX(I$2:I121)+10000)</f>
        <v>0</v>
      </c>
      <c r="L121" s="2">
        <f t="shared" si="15"/>
        <v>0.0795724465558196</v>
      </c>
      <c r="M121" s="5">
        <f t="shared" si="11"/>
        <v>0.0379479163022381</v>
      </c>
    </row>
    <row r="122" spans="1:13">
      <c r="A122" t="s">
        <v>26</v>
      </c>
      <c r="B122" t="s">
        <v>14</v>
      </c>
      <c r="C122">
        <v>10</v>
      </c>
      <c r="D122" s="1">
        <v>45909.575</v>
      </c>
      <c r="E122">
        <v>53.8772</v>
      </c>
      <c r="F122">
        <v>55.053</v>
      </c>
      <c r="G122" s="2">
        <v>0.2183</v>
      </c>
      <c r="H122">
        <v>2940</v>
      </c>
      <c r="I122">
        <f t="shared" si="14"/>
        <v>504420.68</v>
      </c>
      <c r="J122" s="4">
        <f t="shared" si="16"/>
        <v>0.261878878720809</v>
      </c>
      <c r="K122" s="5">
        <f>1-(10000+I122)/(MAX(I$2:I122)+10000)</f>
        <v>0</v>
      </c>
      <c r="L122" s="2">
        <f t="shared" si="15"/>
        <v>0.0218237027907908</v>
      </c>
      <c r="M122" s="5">
        <f t="shared" si="11"/>
        <v>0.00574801769638689</v>
      </c>
    </row>
    <row r="123" spans="1:13">
      <c r="A123" t="s">
        <v>41</v>
      </c>
      <c r="B123" t="s">
        <v>14</v>
      </c>
      <c r="C123">
        <v>4</v>
      </c>
      <c r="D123" s="1">
        <v>45912.58125</v>
      </c>
      <c r="E123">
        <v>0.2342</v>
      </c>
      <c r="F123">
        <v>0.2345</v>
      </c>
      <c r="G123" s="2">
        <v>0.0039</v>
      </c>
      <c r="H123">
        <v>34.1</v>
      </c>
      <c r="I123">
        <f t="shared" si="14"/>
        <v>504454.78</v>
      </c>
      <c r="J123" s="4">
        <f t="shared" si="16"/>
        <v>0.0517455262702287</v>
      </c>
      <c r="K123" s="5">
        <f>1-(10000+I123)/(MAX(I$2:I123)+10000)</f>
        <v>0</v>
      </c>
      <c r="L123" s="2">
        <f t="shared" si="15"/>
        <v>0.00128095644748072</v>
      </c>
      <c r="M123" s="5">
        <f t="shared" si="11"/>
        <v>6.62881593329413e-5</v>
      </c>
    </row>
    <row r="124" spans="1:13">
      <c r="A124" t="s">
        <v>17</v>
      </c>
      <c r="B124" t="s">
        <v>16</v>
      </c>
      <c r="C124">
        <v>10</v>
      </c>
      <c r="D124" s="1">
        <v>45913.6423611111</v>
      </c>
      <c r="E124">
        <v>4585.86</v>
      </c>
      <c r="F124">
        <v>4345.56</v>
      </c>
      <c r="G124" s="2">
        <v>0.5241</v>
      </c>
      <c r="H124">
        <v>33600</v>
      </c>
      <c r="I124">
        <f t="shared" si="14"/>
        <v>538054.78</v>
      </c>
      <c r="J124" s="4">
        <f t="shared" si="16"/>
        <v>1.16999048234648</v>
      </c>
      <c r="K124" s="5">
        <f>1-(10000+I124)/(MAX(I$2:I124)+10000)</f>
        <v>0</v>
      </c>
      <c r="L124" s="2">
        <f t="shared" si="15"/>
        <v>-0.0524002041056638</v>
      </c>
      <c r="M124" s="5">
        <f t="shared" si="11"/>
        <v>0.0653118627841304</v>
      </c>
    </row>
    <row r="125" spans="1:13">
      <c r="A125" t="s">
        <v>36</v>
      </c>
      <c r="B125" t="s">
        <v>16</v>
      </c>
      <c r="C125">
        <v>10</v>
      </c>
      <c r="D125" s="1">
        <v>45914.49375</v>
      </c>
      <c r="E125">
        <v>246.74</v>
      </c>
      <c r="F125">
        <v>228.25</v>
      </c>
      <c r="G125" s="2">
        <v>0.7495</v>
      </c>
      <c r="H125">
        <v>27700</v>
      </c>
      <c r="I125">
        <f t="shared" si="14"/>
        <v>565754.78</v>
      </c>
      <c r="J125" s="4">
        <f t="shared" si="16"/>
        <v>0.642014543293729</v>
      </c>
      <c r="K125" s="5">
        <f>1-(10000+I125)/(MAX(I$2:I125)+10000)</f>
        <v>0</v>
      </c>
      <c r="L125" s="2">
        <f t="shared" si="15"/>
        <v>-0.0749371808381293</v>
      </c>
      <c r="M125" s="5">
        <f t="shared" si="11"/>
        <v>0.0505423928608013</v>
      </c>
    </row>
    <row r="126" spans="1:13">
      <c r="A126" t="s">
        <v>37</v>
      </c>
      <c r="B126" t="s">
        <v>16</v>
      </c>
      <c r="C126">
        <v>10</v>
      </c>
      <c r="D126" s="1">
        <v>45917.0916666667</v>
      </c>
      <c r="E126">
        <v>0.03467</v>
      </c>
      <c r="F126">
        <v>0.03022</v>
      </c>
      <c r="G126" s="2">
        <v>1.2831</v>
      </c>
      <c r="H126">
        <v>24500</v>
      </c>
      <c r="I126">
        <f t="shared" si="14"/>
        <v>590254.78</v>
      </c>
      <c r="J126" s="4">
        <f t="shared" si="16"/>
        <v>0.317997926282068</v>
      </c>
      <c r="K126" s="5">
        <f>1-(10000+I126)/(MAX(I$2:I126)+10000)</f>
        <v>0</v>
      </c>
      <c r="L126" s="2">
        <f t="shared" si="15"/>
        <v>-0.128353042976637</v>
      </c>
      <c r="M126" s="5">
        <f t="shared" si="11"/>
        <v>0.0425528382065712</v>
      </c>
    </row>
    <row r="127" spans="1:13">
      <c r="A127" t="s">
        <v>15</v>
      </c>
      <c r="B127" t="s">
        <v>16</v>
      </c>
      <c r="C127">
        <v>10</v>
      </c>
      <c r="D127" s="1">
        <v>45918.1229166667</v>
      </c>
      <c r="E127">
        <v>0.9103</v>
      </c>
      <c r="F127">
        <v>0.9681</v>
      </c>
      <c r="G127" s="2">
        <v>-0.6361</v>
      </c>
      <c r="H127">
        <v>-579</v>
      </c>
      <c r="I127">
        <f t="shared" si="14"/>
        <v>589675.78</v>
      </c>
      <c r="J127" s="4">
        <f t="shared" si="16"/>
        <v>0.0152061321118357</v>
      </c>
      <c r="K127" s="5">
        <f>1-(10000+I127)/(MAX(I$2:I127)+10000)</f>
        <v>0.000964590402761978</v>
      </c>
      <c r="L127" s="2">
        <f t="shared" si="15"/>
        <v>0.0634955509172799</v>
      </c>
      <c r="M127" s="5">
        <f t="shared" si="11"/>
        <v>-0.000964590402761974</v>
      </c>
    </row>
    <row r="128" spans="1:13">
      <c r="A128" t="s">
        <v>42</v>
      </c>
      <c r="B128" t="s">
        <v>14</v>
      </c>
      <c r="C128">
        <v>5</v>
      </c>
      <c r="D128" s="1">
        <v>45922.7930555556</v>
      </c>
      <c r="E128">
        <v>0.7508</v>
      </c>
      <c r="F128">
        <v>0.7614</v>
      </c>
      <c r="G128" s="2">
        <v>0.0701</v>
      </c>
      <c r="H128">
        <v>3154</v>
      </c>
      <c r="I128">
        <f t="shared" si="14"/>
        <v>592829.78</v>
      </c>
      <c r="J128" s="4">
        <f t="shared" si="16"/>
        <v>0.370582911637743</v>
      </c>
      <c r="K128" s="5">
        <f>1-(10000+I128)/(MAX(I$2:I128)+10000)</f>
        <v>0</v>
      </c>
      <c r="L128" s="2">
        <f t="shared" si="15"/>
        <v>0.014118273841236</v>
      </c>
      <c r="M128" s="5">
        <f t="shared" si="11"/>
        <v>0.00525950872986733</v>
      </c>
    </row>
    <row r="129" spans="1:13">
      <c r="A129" t="s">
        <v>43</v>
      </c>
      <c r="B129" t="s">
        <v>14</v>
      </c>
      <c r="C129">
        <v>10</v>
      </c>
      <c r="D129" s="1">
        <v>45923.9215277778</v>
      </c>
      <c r="E129">
        <v>2.0736</v>
      </c>
      <c r="F129">
        <v>2.0308</v>
      </c>
      <c r="G129" s="2">
        <v>-0.2065</v>
      </c>
      <c r="H129">
        <v>-856</v>
      </c>
      <c r="I129">
        <f t="shared" si="14"/>
        <v>591973.78</v>
      </c>
      <c r="J129" s="4">
        <f t="shared" si="16"/>
        <v>0.0688933660864768</v>
      </c>
      <c r="K129" s="5">
        <f>1-(10000+I129)/(MAX(I$2:I129)+10000)</f>
        <v>0.00141996966374158</v>
      </c>
      <c r="L129" s="2">
        <f t="shared" si="15"/>
        <v>-0.0206404320987653</v>
      </c>
      <c r="M129" s="5">
        <f t="shared" si="11"/>
        <v>-0.00141996966374156</v>
      </c>
    </row>
    <row r="130" spans="1:13">
      <c r="A130" t="s">
        <v>44</v>
      </c>
      <c r="B130" t="s">
        <v>14</v>
      </c>
      <c r="C130">
        <v>10</v>
      </c>
      <c r="D130" s="1">
        <v>45924.5083333333</v>
      </c>
      <c r="E130">
        <v>33.0804</v>
      </c>
      <c r="F130">
        <v>30.465</v>
      </c>
      <c r="G130" s="2">
        <v>-0.7907</v>
      </c>
      <c r="H130">
        <v>-52300</v>
      </c>
      <c r="I130">
        <f t="shared" si="14"/>
        <v>539673.78</v>
      </c>
      <c r="J130" s="4">
        <f t="shared" si="16"/>
        <v>1.20345346195944</v>
      </c>
      <c r="K130" s="5">
        <f>1-(10000+I130)/(MAX(I$2:I130)+10000)</f>
        <v>0.0881774619694469</v>
      </c>
      <c r="L130" s="2">
        <f t="shared" si="15"/>
        <v>-0.0790619218630971</v>
      </c>
      <c r="M130" s="5">
        <f t="shared" si="11"/>
        <v>-0.0868808604919636</v>
      </c>
    </row>
    <row r="131" spans="1:13">
      <c r="A131" t="s">
        <v>43</v>
      </c>
      <c r="B131" t="s">
        <v>14</v>
      </c>
      <c r="C131">
        <v>10</v>
      </c>
      <c r="D131" s="1">
        <v>45924.5083333333</v>
      </c>
      <c r="E131">
        <v>1.9863</v>
      </c>
      <c r="F131">
        <v>2.361</v>
      </c>
      <c r="G131" s="2">
        <v>1.8868</v>
      </c>
      <c r="H131">
        <v>25800</v>
      </c>
      <c r="I131">
        <f t="shared" si="14"/>
        <v>565473.78</v>
      </c>
      <c r="J131" s="4">
        <f t="shared" si="16"/>
        <v>0.237659574138697</v>
      </c>
      <c r="K131" s="5">
        <f>1-(10000+I131)/(MAX(I$2:I131)+10000)</f>
        <v>0.0453793108893857</v>
      </c>
      <c r="L131" s="2">
        <f t="shared" si="15"/>
        <v>0.188642199063586</v>
      </c>
      <c r="M131" s="5">
        <f t="shared" si="11"/>
        <v>0.0469369304826583</v>
      </c>
    </row>
    <row r="132" spans="1:13">
      <c r="A132" t="s">
        <v>42</v>
      </c>
      <c r="B132" t="s">
        <v>14</v>
      </c>
      <c r="C132">
        <v>10</v>
      </c>
      <c r="D132" s="1">
        <v>45924.5090277778</v>
      </c>
      <c r="E132">
        <v>0.6672</v>
      </c>
      <c r="F132">
        <v>0.782</v>
      </c>
      <c r="G132" s="2">
        <v>1.7207</v>
      </c>
      <c r="H132">
        <v>16100</v>
      </c>
      <c r="I132">
        <f t="shared" ref="I132:I163" si="17">I131+H132</f>
        <v>581573.78</v>
      </c>
      <c r="J132" s="4">
        <f t="shared" si="16"/>
        <v>0.158172547314922</v>
      </c>
      <c r="K132" s="5">
        <f>1-(10000+I132)/(MAX(I$2:I132)+10000)</f>
        <v>0.0186719375409755</v>
      </c>
      <c r="L132" s="2">
        <f t="shared" si="15"/>
        <v>0.172062350119904</v>
      </c>
      <c r="M132" s="5">
        <f t="shared" ref="M132:M195" si="18">H132/(10000+I131)</f>
        <v>0.0279769479679856</v>
      </c>
    </row>
    <row r="133" spans="1:13">
      <c r="A133" t="s">
        <v>42</v>
      </c>
      <c r="B133" t="s">
        <v>14</v>
      </c>
      <c r="C133">
        <v>10</v>
      </c>
      <c r="D133" s="1">
        <v>45925.8868055556</v>
      </c>
      <c r="E133">
        <v>0.9131</v>
      </c>
      <c r="F133">
        <v>1.2931</v>
      </c>
      <c r="G133" s="2">
        <v>4.1617</v>
      </c>
      <c r="H133">
        <v>76000</v>
      </c>
      <c r="I133">
        <f t="shared" si="17"/>
        <v>657573.78</v>
      </c>
      <c r="J133" s="4">
        <f t="shared" si="16"/>
        <v>0.273557778138021</v>
      </c>
      <c r="K133" s="5">
        <f>1-(10000+I133)/(MAX(I$2:I133)+10000)</f>
        <v>0</v>
      </c>
      <c r="L133" s="2">
        <f t="shared" si="15"/>
        <v>0.416164713612967</v>
      </c>
      <c r="M133" s="5">
        <f t="shared" si="18"/>
        <v>0.128470873066754</v>
      </c>
    </row>
    <row r="134" spans="1:13">
      <c r="A134" t="s">
        <v>36</v>
      </c>
      <c r="B134" t="s">
        <v>14</v>
      </c>
      <c r="C134">
        <v>10</v>
      </c>
      <c r="D134" s="1">
        <v>45925.9159722222</v>
      </c>
      <c r="E134">
        <v>198.2</v>
      </c>
      <c r="F134">
        <v>198.39</v>
      </c>
      <c r="G134" s="2">
        <v>0.0094</v>
      </c>
      <c r="H134">
        <v>369</v>
      </c>
      <c r="I134">
        <f t="shared" si="17"/>
        <v>657942.78</v>
      </c>
      <c r="J134" s="4">
        <f t="shared" si="16"/>
        <v>0.576284787684783</v>
      </c>
      <c r="K134" s="5">
        <f>1-(10000+I134)/(MAX(I$2:I134)+10000)</f>
        <v>0</v>
      </c>
      <c r="L134" s="2">
        <f t="shared" si="15"/>
        <v>0.000958627648839583</v>
      </c>
      <c r="M134" s="5">
        <f t="shared" si="18"/>
        <v>0.000552747892525078</v>
      </c>
    </row>
    <row r="135" spans="1:13">
      <c r="A135" t="s">
        <v>17</v>
      </c>
      <c r="B135" t="s">
        <v>14</v>
      </c>
      <c r="C135">
        <v>10</v>
      </c>
      <c r="D135" s="1">
        <v>45926.5326388889</v>
      </c>
      <c r="E135">
        <v>3941.78</v>
      </c>
      <c r="F135">
        <v>4000</v>
      </c>
      <c r="G135" s="2">
        <v>0.1477</v>
      </c>
      <c r="H135">
        <v>20400</v>
      </c>
      <c r="I135">
        <f t="shared" si="17"/>
        <v>678342.78</v>
      </c>
      <c r="J135" s="4">
        <f t="shared" si="16"/>
        <v>2.00652967259312</v>
      </c>
      <c r="K135" s="5">
        <f>1-(10000+I135)/(MAX(I$2:I135)+10000)</f>
        <v>0</v>
      </c>
      <c r="L135" s="2">
        <f t="shared" si="15"/>
        <v>0.0147699770154599</v>
      </c>
      <c r="M135" s="5">
        <f t="shared" si="18"/>
        <v>0.0305415383036254</v>
      </c>
    </row>
    <row r="136" spans="1:13">
      <c r="A136" t="s">
        <v>15</v>
      </c>
      <c r="B136" t="s">
        <v>16</v>
      </c>
      <c r="C136">
        <v>10</v>
      </c>
      <c r="D136" s="1">
        <v>45928.6840277778</v>
      </c>
      <c r="E136">
        <v>0.7228</v>
      </c>
      <c r="F136">
        <v>0.7274</v>
      </c>
      <c r="G136" s="2">
        <v>-0.0636</v>
      </c>
      <c r="H136">
        <v>-635</v>
      </c>
      <c r="I136">
        <f t="shared" si="17"/>
        <v>677707.78</v>
      </c>
      <c r="J136" s="4">
        <f t="shared" si="16"/>
        <v>0.145087534253218</v>
      </c>
      <c r="K136" s="5">
        <f>1-(10000+I136)/(MAX(I$2:I136)+10000)</f>
        <v>0.000922505499367676</v>
      </c>
      <c r="L136" s="2">
        <f t="shared" si="15"/>
        <v>0.00636413945766479</v>
      </c>
      <c r="M136" s="5">
        <f t="shared" si="18"/>
        <v>-0.000922505499367626</v>
      </c>
    </row>
    <row r="137" spans="1:13">
      <c r="A137" t="s">
        <v>37</v>
      </c>
      <c r="B137" t="s">
        <v>16</v>
      </c>
      <c r="C137">
        <v>10</v>
      </c>
      <c r="D137" s="1">
        <v>45929.8368055556</v>
      </c>
      <c r="E137">
        <v>0.02779</v>
      </c>
      <c r="F137">
        <v>0.02868</v>
      </c>
      <c r="G137" s="2">
        <v>-0.3195</v>
      </c>
      <c r="H137">
        <v>-1596</v>
      </c>
      <c r="I137">
        <f t="shared" si="17"/>
        <v>676111.78</v>
      </c>
      <c r="J137" s="4">
        <f t="shared" si="16"/>
        <v>0.0726334296219098</v>
      </c>
      <c r="K137" s="5">
        <f>1-(10000+I137)/(MAX(I$2:I137)+10000)</f>
        <v>0.00324111774659708</v>
      </c>
      <c r="L137" s="2">
        <f t="shared" si="15"/>
        <v>0.0320259086002159</v>
      </c>
      <c r="M137" s="5">
        <f t="shared" si="18"/>
        <v>-0.00232075315477746</v>
      </c>
    </row>
    <row r="138" spans="1:13">
      <c r="A138" t="s">
        <v>15</v>
      </c>
      <c r="B138" t="s">
        <v>16</v>
      </c>
      <c r="C138">
        <v>10</v>
      </c>
      <c r="D138" s="1">
        <v>45929.8381944444</v>
      </c>
      <c r="E138">
        <v>0.6988</v>
      </c>
      <c r="F138">
        <v>0.7343</v>
      </c>
      <c r="G138" s="2">
        <v>-0.5081</v>
      </c>
      <c r="H138">
        <v>-508</v>
      </c>
      <c r="I138">
        <f t="shared" si="17"/>
        <v>675603.78</v>
      </c>
      <c r="J138" s="4">
        <f t="shared" si="16"/>
        <v>0.0145852894473026</v>
      </c>
      <c r="K138" s="5">
        <f>1-(10000+I138)/(MAX(I$2:I138)+10000)</f>
        <v>0.0039791221460912</v>
      </c>
      <c r="L138" s="2">
        <f t="shared" si="15"/>
        <v>0.050801373783629</v>
      </c>
      <c r="M138" s="5">
        <f t="shared" si="18"/>
        <v>-0.000740404136480502</v>
      </c>
    </row>
    <row r="139" spans="1:13">
      <c r="A139" t="s">
        <v>17</v>
      </c>
      <c r="B139" t="s">
        <v>16</v>
      </c>
      <c r="C139">
        <v>10</v>
      </c>
      <c r="D139" s="1">
        <v>45929.9069444444</v>
      </c>
      <c r="E139">
        <v>4153.65</v>
      </c>
      <c r="F139">
        <v>4283.59</v>
      </c>
      <c r="G139" s="2">
        <v>-0.3129</v>
      </c>
      <c r="H139">
        <v>-25600</v>
      </c>
      <c r="I139">
        <f t="shared" si="17"/>
        <v>650003.78</v>
      </c>
      <c r="J139" s="4">
        <f t="shared" si="16"/>
        <v>1.23988263817422</v>
      </c>
      <c r="K139" s="5">
        <f>1-(10000+I139)/(MAX(I$2:I139)+10000)</f>
        <v>0.0411698950339829</v>
      </c>
      <c r="L139" s="2">
        <f t="shared" si="15"/>
        <v>0.0312833291201715</v>
      </c>
      <c r="M139" s="5">
        <f t="shared" si="18"/>
        <v>-0.0373393507252833</v>
      </c>
    </row>
    <row r="140" spans="1:13">
      <c r="A140" t="s">
        <v>36</v>
      </c>
      <c r="B140" t="s">
        <v>16</v>
      </c>
      <c r="C140">
        <v>10</v>
      </c>
      <c r="D140" s="1">
        <v>45929.9076388889</v>
      </c>
      <c r="E140">
        <v>208.07</v>
      </c>
      <c r="F140">
        <v>215.12</v>
      </c>
      <c r="G140" s="2">
        <v>-0.3392</v>
      </c>
      <c r="H140">
        <v>-20400</v>
      </c>
      <c r="I140">
        <f t="shared" si="17"/>
        <v>629603.78</v>
      </c>
      <c r="J140" s="4">
        <f t="shared" si="16"/>
        <v>0.941324789570535</v>
      </c>
      <c r="K140" s="5">
        <f>1-(10000+I140)/(MAX(I$2:I140)+10000)</f>
        <v>0.0708062921790217</v>
      </c>
      <c r="L140" s="2">
        <f t="shared" si="15"/>
        <v>0.0338828278944587</v>
      </c>
      <c r="M140" s="5">
        <f t="shared" si="18"/>
        <v>-0.0309089138853114</v>
      </c>
    </row>
    <row r="141" spans="1:13">
      <c r="A141" t="s">
        <v>36</v>
      </c>
      <c r="B141" t="s">
        <v>16</v>
      </c>
      <c r="C141">
        <v>10</v>
      </c>
      <c r="D141" s="1">
        <v>45932.9659722222</v>
      </c>
      <c r="E141">
        <v>224.63</v>
      </c>
      <c r="F141">
        <v>232.79</v>
      </c>
      <c r="G141" s="2">
        <v>-0.3633</v>
      </c>
      <c r="H141">
        <v>-28600</v>
      </c>
      <c r="I141">
        <f t="shared" si="17"/>
        <v>601003.78</v>
      </c>
      <c r="J141" s="4">
        <f t="shared" si="16"/>
        <v>1.28854542839486</v>
      </c>
      <c r="K141" s="5">
        <f>1-(10000+I141)/(MAX(I$2:I141)+10000)</f>
        <v>0.112355358764713</v>
      </c>
      <c r="L141" s="2">
        <f t="shared" si="15"/>
        <v>0.0363264034189557</v>
      </c>
      <c r="M141" s="5">
        <f t="shared" si="18"/>
        <v>-0.0447151828902575</v>
      </c>
    </row>
    <row r="142" spans="1:13">
      <c r="A142" t="s">
        <v>17</v>
      </c>
      <c r="B142" t="s">
        <v>16</v>
      </c>
      <c r="C142">
        <v>10</v>
      </c>
      <c r="D142" s="1">
        <v>45932.9659722222</v>
      </c>
      <c r="E142">
        <v>4380.07</v>
      </c>
      <c r="F142">
        <v>4471.7</v>
      </c>
      <c r="G142" s="2">
        <v>-0.2092</v>
      </c>
      <c r="H142">
        <v>-18300</v>
      </c>
      <c r="I142">
        <f t="shared" si="17"/>
        <v>582703.78</v>
      </c>
      <c r="J142" s="4">
        <f t="shared" si="16"/>
        <v>1.47589940414252</v>
      </c>
      <c r="K142" s="5">
        <f>1-(10000+I142)/(MAX(I$2:I142)+10000)</f>
        <v>0.138940950321292</v>
      </c>
      <c r="L142" s="2">
        <f t="shared" si="15"/>
        <v>0.0209197569901851</v>
      </c>
      <c r="M142" s="5">
        <f t="shared" si="18"/>
        <v>-0.0299507148711911</v>
      </c>
    </row>
    <row r="143" spans="1:13">
      <c r="A143" t="s">
        <v>17</v>
      </c>
      <c r="B143" t="s">
        <v>16</v>
      </c>
      <c r="C143">
        <v>10</v>
      </c>
      <c r="D143" s="1">
        <v>45934.0541666667</v>
      </c>
      <c r="E143">
        <v>4501.01</v>
      </c>
      <c r="F143">
        <v>4492.61</v>
      </c>
      <c r="G143" s="2">
        <v>0.0187</v>
      </c>
      <c r="H143">
        <v>420</v>
      </c>
      <c r="I143">
        <f t="shared" si="17"/>
        <v>583123.78</v>
      </c>
      <c r="J143" s="4">
        <f t="shared" si="16"/>
        <v>0.379432603427212</v>
      </c>
      <c r="K143" s="5">
        <f>1-(10000+I143)/(MAX(I$2:I143)+10000)</f>
        <v>0.1383307892036</v>
      </c>
      <c r="L143" s="2">
        <f t="shared" si="15"/>
        <v>-0.0018662477977166</v>
      </c>
      <c r="M143" s="5">
        <f t="shared" si="18"/>
        <v>0.00070861704306998</v>
      </c>
    </row>
    <row r="144" spans="1:13">
      <c r="A144" t="s">
        <v>17</v>
      </c>
      <c r="B144" t="s">
        <v>16</v>
      </c>
      <c r="C144">
        <v>10</v>
      </c>
      <c r="D144" s="1">
        <v>45936.65625</v>
      </c>
      <c r="E144">
        <v>4516.4</v>
      </c>
      <c r="F144">
        <v>4516.3</v>
      </c>
      <c r="G144" s="2">
        <v>0.0003</v>
      </c>
      <c r="H144">
        <v>10.8</v>
      </c>
      <c r="I144">
        <f t="shared" si="17"/>
        <v>583134.58</v>
      </c>
      <c r="J144" s="4">
        <f t="shared" si="16"/>
        <v>0.822361764851612</v>
      </c>
      <c r="K144" s="5">
        <f>1-(10000+I144)/(MAX(I$2:I144)+10000)</f>
        <v>0.138315099346288</v>
      </c>
      <c r="L144" s="2">
        <f t="shared" si="15"/>
        <v>-2.21415286509874e-5</v>
      </c>
      <c r="M144" s="5">
        <f t="shared" si="18"/>
        <v>1.82086781278606e-5</v>
      </c>
    </row>
    <row r="145" spans="1:13">
      <c r="A145" t="s">
        <v>42</v>
      </c>
      <c r="B145" t="s">
        <v>14</v>
      </c>
      <c r="C145">
        <v>10</v>
      </c>
      <c r="D145" s="1">
        <v>45937.4590277778</v>
      </c>
      <c r="E145">
        <v>1.0402</v>
      </c>
      <c r="F145">
        <v>0.9538</v>
      </c>
      <c r="G145" s="2">
        <v>-0.8313</v>
      </c>
      <c r="H145">
        <v>-13000</v>
      </c>
      <c r="I145">
        <f t="shared" si="17"/>
        <v>570134.58</v>
      </c>
      <c r="J145" s="4">
        <f t="shared" si="16"/>
        <v>0.269784942097529</v>
      </c>
      <c r="K145" s="5">
        <f>1-(10000+I145)/(MAX(I$2:I145)+10000)</f>
        <v>0.15720103870342</v>
      </c>
      <c r="L145" s="2">
        <f t="shared" si="15"/>
        <v>-0.0830609498173428</v>
      </c>
      <c r="M145" s="5">
        <f t="shared" si="18"/>
        <v>-0.0219174542141853</v>
      </c>
    </row>
    <row r="146" spans="1:13">
      <c r="A146" t="s">
        <v>36</v>
      </c>
      <c r="B146" t="s">
        <v>16</v>
      </c>
      <c r="C146">
        <v>10</v>
      </c>
      <c r="D146" s="1">
        <v>45938.4041666667</v>
      </c>
      <c r="E146">
        <v>222.12</v>
      </c>
      <c r="F146">
        <v>221.03</v>
      </c>
      <c r="G146" s="2">
        <v>0.0489</v>
      </c>
      <c r="H146">
        <v>3258</v>
      </c>
      <c r="I146">
        <f t="shared" si="17"/>
        <v>573392.58</v>
      </c>
      <c r="J146" s="4">
        <f t="shared" si="16"/>
        <v>1.13802380243133</v>
      </c>
      <c r="K146" s="5">
        <f>1-(10000+I146)/(MAX(I$2:I146)+10000)</f>
        <v>0.15246793174761</v>
      </c>
      <c r="L146" s="2">
        <f t="shared" si="15"/>
        <v>-0.00490725733837571</v>
      </c>
      <c r="M146" s="5">
        <f t="shared" si="18"/>
        <v>0.00561593828797449</v>
      </c>
    </row>
    <row r="147" spans="1:13">
      <c r="A147" t="s">
        <v>17</v>
      </c>
      <c r="B147" t="s">
        <v>16</v>
      </c>
      <c r="C147">
        <v>10</v>
      </c>
      <c r="D147" s="1">
        <v>45939.4652777778</v>
      </c>
      <c r="E147">
        <v>4428</v>
      </c>
      <c r="F147">
        <v>4378.54</v>
      </c>
      <c r="G147" s="2">
        <v>0.1117</v>
      </c>
      <c r="H147">
        <v>2473</v>
      </c>
      <c r="I147">
        <f t="shared" si="17"/>
        <v>575865.58</v>
      </c>
      <c r="J147" s="4">
        <f t="shared" si="16"/>
        <v>0.377902385048804</v>
      </c>
      <c r="K147" s="5">
        <f>1-(10000+I147)/(MAX(I$2:I147)+10000)</f>
        <v>0.148875244976057</v>
      </c>
      <c r="L147" s="2">
        <f t="shared" ref="L147:L178" si="19">F147/E147-1</f>
        <v>-0.0111698283649503</v>
      </c>
      <c r="M147" s="5">
        <f t="shared" si="18"/>
        <v>0.00423899803456534</v>
      </c>
    </row>
    <row r="148" spans="1:13">
      <c r="A148" t="s">
        <v>37</v>
      </c>
      <c r="B148" t="s">
        <v>16</v>
      </c>
      <c r="C148">
        <v>10</v>
      </c>
      <c r="D148" s="1">
        <v>45939.6979166667</v>
      </c>
      <c r="E148">
        <v>0.03045</v>
      </c>
      <c r="F148">
        <v>0.03064</v>
      </c>
      <c r="G148" s="2">
        <v>-0.0628</v>
      </c>
      <c r="H148">
        <v>-382</v>
      </c>
      <c r="I148">
        <f t="shared" si="17"/>
        <v>575483.58</v>
      </c>
      <c r="J148" s="4">
        <f t="shared" si="16"/>
        <v>0.104564036306176</v>
      </c>
      <c r="K148" s="5">
        <f>1-(10000+I148)/(MAX(I$2:I148)+10000)</f>
        <v>0.149430201040243</v>
      </c>
      <c r="L148" s="2">
        <f t="shared" si="19"/>
        <v>0.00623973727422</v>
      </c>
      <c r="M148" s="5">
        <f t="shared" si="18"/>
        <v>-0.000652026698684022</v>
      </c>
    </row>
    <row r="149" spans="1:13">
      <c r="A149" t="s">
        <v>15</v>
      </c>
      <c r="B149" t="s">
        <v>16</v>
      </c>
      <c r="C149">
        <v>6</v>
      </c>
      <c r="D149" s="1">
        <v>45939.6986111111</v>
      </c>
      <c r="E149">
        <v>0.709</v>
      </c>
      <c r="F149">
        <v>0.7106</v>
      </c>
      <c r="G149" s="2">
        <v>-0.0134</v>
      </c>
      <c r="H149">
        <v>-158</v>
      </c>
      <c r="I149">
        <f t="shared" si="17"/>
        <v>575325.58</v>
      </c>
      <c r="J149" s="4">
        <f t="shared" si="16"/>
        <v>0.119615052531956</v>
      </c>
      <c r="K149" s="5">
        <f>1-(10000+I149)/(MAX(I$2:I149)+10000)</f>
        <v>0.149659737841661</v>
      </c>
      <c r="L149" s="2">
        <f t="shared" si="19"/>
        <v>0.00225669957686891</v>
      </c>
      <c r="M149" s="5">
        <f t="shared" si="18"/>
        <v>-0.0002698623930666</v>
      </c>
    </row>
    <row r="150" spans="1:13">
      <c r="A150" t="s">
        <v>45</v>
      </c>
      <c r="B150" t="s">
        <v>16</v>
      </c>
      <c r="C150">
        <v>10</v>
      </c>
      <c r="D150" s="1">
        <v>45939.7083333333</v>
      </c>
      <c r="E150">
        <v>1282.3</v>
      </c>
      <c r="F150">
        <v>1282.5</v>
      </c>
      <c r="G150" s="2">
        <v>-0.0016</v>
      </c>
      <c r="H150">
        <v>-20</v>
      </c>
      <c r="I150">
        <f t="shared" si="17"/>
        <v>575305.58</v>
      </c>
      <c r="J150" s="4">
        <f t="shared" si="16"/>
        <v>0.219082141673804</v>
      </c>
      <c r="K150" s="5">
        <f>1-(10000+I150)/(MAX(I$2:I150)+10000)</f>
        <v>0.149688793132979</v>
      </c>
      <c r="L150" s="2">
        <f t="shared" si="19"/>
        <v>0.000155969741870043</v>
      </c>
      <c r="M150" s="5">
        <f t="shared" si="18"/>
        <v>-3.41690175235465e-5</v>
      </c>
    </row>
    <row r="151" spans="1:13">
      <c r="A151" t="s">
        <v>45</v>
      </c>
      <c r="B151" t="s">
        <v>16</v>
      </c>
      <c r="C151">
        <v>10</v>
      </c>
      <c r="D151" s="1">
        <v>45939.9784722222</v>
      </c>
      <c r="E151">
        <v>1236.7</v>
      </c>
      <c r="F151">
        <v>1108.8</v>
      </c>
      <c r="G151" s="2">
        <v>1.0343</v>
      </c>
      <c r="H151">
        <v>19200</v>
      </c>
      <c r="I151">
        <f t="shared" si="17"/>
        <v>594505.58</v>
      </c>
      <c r="J151" s="4">
        <f t="shared" si="16"/>
        <v>0.307110546594196</v>
      </c>
      <c r="K151" s="5">
        <f>1-(10000+I151)/(MAX(I$2:I151)+10000)</f>
        <v>0.121795713467061</v>
      </c>
      <c r="L151" s="2">
        <f t="shared" si="19"/>
        <v>-0.103420392981321</v>
      </c>
      <c r="M151" s="5">
        <f t="shared" si="18"/>
        <v>0.0328033776817915</v>
      </c>
    </row>
    <row r="152" spans="1:13">
      <c r="A152" t="s">
        <v>15</v>
      </c>
      <c r="B152" t="s">
        <v>16</v>
      </c>
      <c r="C152">
        <v>10</v>
      </c>
      <c r="D152" s="1">
        <v>45939.9909722222</v>
      </c>
      <c r="E152">
        <v>0.6948</v>
      </c>
      <c r="F152">
        <v>0.4843</v>
      </c>
      <c r="G152" s="2">
        <v>3.0285</v>
      </c>
      <c r="H152">
        <v>10500</v>
      </c>
      <c r="I152">
        <f t="shared" si="17"/>
        <v>605005.58</v>
      </c>
      <c r="J152" s="4">
        <f t="shared" ref="J152:J183" si="20">ABS(H152/L152)/(I152+10000)</f>
        <v>0.0563531182680865</v>
      </c>
      <c r="K152" s="5">
        <f>1-(10000+I152)/(MAX(I$2:I152)+10000)</f>
        <v>0.106541685524761</v>
      </c>
      <c r="L152" s="2">
        <f t="shared" si="19"/>
        <v>-0.302964881980426</v>
      </c>
      <c r="M152" s="5">
        <f t="shared" si="18"/>
        <v>0.0173695667126844</v>
      </c>
    </row>
    <row r="153" spans="1:13">
      <c r="A153" t="s">
        <v>18</v>
      </c>
      <c r="B153" t="s">
        <v>16</v>
      </c>
      <c r="C153">
        <v>10</v>
      </c>
      <c r="D153" s="1">
        <v>45940.4902777778</v>
      </c>
      <c r="E153">
        <v>1.932e-5</v>
      </c>
      <c r="F153">
        <v>1.903e-5</v>
      </c>
      <c r="G153" s="2">
        <v>0.1502</v>
      </c>
      <c r="H153">
        <v>290</v>
      </c>
      <c r="I153">
        <f t="shared" si="17"/>
        <v>605295.58</v>
      </c>
      <c r="J153" s="4">
        <f t="shared" si="20"/>
        <v>0.0313995429643747</v>
      </c>
      <c r="K153" s="5">
        <f>1-(10000+I153)/(MAX(I$2:I153)+10000)</f>
        <v>0.106120383800641</v>
      </c>
      <c r="L153" s="2">
        <f t="shared" si="19"/>
        <v>-0.0150103519668738</v>
      </c>
      <c r="M153" s="5">
        <f t="shared" si="18"/>
        <v>0.000471540437080262</v>
      </c>
    </row>
    <row r="154" spans="1:13">
      <c r="A154" t="s">
        <v>36</v>
      </c>
      <c r="B154" t="s">
        <v>16</v>
      </c>
      <c r="C154">
        <v>10</v>
      </c>
      <c r="D154" s="1">
        <v>45940.5569444444</v>
      </c>
      <c r="E154">
        <v>220.59</v>
      </c>
      <c r="F154">
        <v>220.54</v>
      </c>
      <c r="G154" s="2">
        <v>0.0023</v>
      </c>
      <c r="H154">
        <v>50</v>
      </c>
      <c r="I154">
        <f t="shared" si="17"/>
        <v>605345.58</v>
      </c>
      <c r="J154" s="4">
        <f t="shared" si="20"/>
        <v>0.358481489377012</v>
      </c>
      <c r="K154" s="5">
        <f>1-(10000+I154)/(MAX(I$2:I154)+10000)</f>
        <v>0.106047745572344</v>
      </c>
      <c r="L154" s="2">
        <f t="shared" si="19"/>
        <v>-0.00022666485334788</v>
      </c>
      <c r="M154" s="5">
        <f t="shared" si="18"/>
        <v>8.12617571541795e-5</v>
      </c>
    </row>
    <row r="155" spans="1:13">
      <c r="A155" t="s">
        <v>45</v>
      </c>
      <c r="B155" t="s">
        <v>14</v>
      </c>
      <c r="C155">
        <v>10</v>
      </c>
      <c r="D155" s="1">
        <v>45941.7208333333</v>
      </c>
      <c r="E155">
        <v>1123.6</v>
      </c>
      <c r="F155">
        <v>1122.2</v>
      </c>
      <c r="G155" s="2">
        <v>-0.0125</v>
      </c>
      <c r="H155">
        <v>-420</v>
      </c>
      <c r="I155">
        <f t="shared" si="17"/>
        <v>604925.58</v>
      </c>
      <c r="J155" s="4">
        <f t="shared" si="20"/>
        <v>0.548163893263349</v>
      </c>
      <c r="K155" s="5">
        <f>1-(10000+I155)/(MAX(I$2:I155)+10000)</f>
        <v>0.106657906690036</v>
      </c>
      <c r="L155" s="2">
        <f t="shared" si="19"/>
        <v>-0.00124599501601985</v>
      </c>
      <c r="M155" s="5">
        <f t="shared" si="18"/>
        <v>-0.000682543295427587</v>
      </c>
    </row>
    <row r="156" spans="1:13">
      <c r="A156" t="s">
        <v>46</v>
      </c>
      <c r="B156" t="s">
        <v>14</v>
      </c>
      <c r="C156">
        <v>5</v>
      </c>
      <c r="D156" s="1">
        <v>45942.0097222222</v>
      </c>
      <c r="E156">
        <v>179.29</v>
      </c>
      <c r="F156">
        <v>169.69</v>
      </c>
      <c r="G156" s="2">
        <v>-0.2678</v>
      </c>
      <c r="H156">
        <v>-960</v>
      </c>
      <c r="I156">
        <f t="shared" si="17"/>
        <v>603965.58</v>
      </c>
      <c r="J156" s="4">
        <f t="shared" si="20"/>
        <v>0.0292019627549805</v>
      </c>
      <c r="K156" s="5">
        <f>1-(10000+I156)/(MAX(I$2:I156)+10000)</f>
        <v>0.108052560673332</v>
      </c>
      <c r="L156" s="2">
        <f t="shared" si="19"/>
        <v>-0.0535445367839812</v>
      </c>
      <c r="M156" s="5">
        <f t="shared" si="18"/>
        <v>-0.00156116452335582</v>
      </c>
    </row>
    <row r="157" spans="1:13">
      <c r="A157" t="s">
        <v>42</v>
      </c>
      <c r="B157" t="s">
        <v>14</v>
      </c>
      <c r="C157">
        <v>10</v>
      </c>
      <c r="D157" s="1">
        <v>45942.5166666667</v>
      </c>
      <c r="E157">
        <v>0.4118</v>
      </c>
      <c r="F157">
        <v>0.4525</v>
      </c>
      <c r="G157" s="2">
        <v>0.9866</v>
      </c>
      <c r="H157">
        <v>1219</v>
      </c>
      <c r="I157">
        <f t="shared" si="17"/>
        <v>605184.58</v>
      </c>
      <c r="J157" s="4">
        <f t="shared" si="20"/>
        <v>0.0200488837476455</v>
      </c>
      <c r="K157" s="5">
        <f>1-(10000+I157)/(MAX(I$2:I157)+10000)</f>
        <v>0.106281640667459</v>
      </c>
      <c r="L157" s="2">
        <f t="shared" si="19"/>
        <v>0.0988343856240894</v>
      </c>
      <c r="M157" s="5">
        <f t="shared" si="18"/>
        <v>0.00198545332134091</v>
      </c>
    </row>
    <row r="158" spans="1:13">
      <c r="A158" t="s">
        <v>43</v>
      </c>
      <c r="B158" t="s">
        <v>14</v>
      </c>
      <c r="C158">
        <v>10</v>
      </c>
      <c r="D158" s="1">
        <v>45942.8444444444</v>
      </c>
      <c r="E158">
        <v>1.439</v>
      </c>
      <c r="F158">
        <v>1.4923</v>
      </c>
      <c r="G158" s="2">
        <v>0.3704</v>
      </c>
      <c r="H158">
        <v>1066</v>
      </c>
      <c r="I158">
        <f t="shared" si="17"/>
        <v>606250.58</v>
      </c>
      <c r="J158" s="4">
        <f t="shared" si="20"/>
        <v>0.0467017816031913</v>
      </c>
      <c r="K158" s="5">
        <f>1-(10000+I158)/(MAX(I$2:I158)+10000)</f>
        <v>0.104732993640174</v>
      </c>
      <c r="L158" s="2">
        <f t="shared" si="19"/>
        <v>0.0370396108408617</v>
      </c>
      <c r="M158" s="5">
        <f t="shared" si="18"/>
        <v>0.00173281326394755</v>
      </c>
    </row>
    <row r="159" spans="1:13">
      <c r="A159" t="s">
        <v>31</v>
      </c>
      <c r="B159" t="s">
        <v>14</v>
      </c>
      <c r="C159">
        <v>50</v>
      </c>
      <c r="D159" s="1">
        <v>45943.0055555556</v>
      </c>
      <c r="E159">
        <v>113925.4</v>
      </c>
      <c r="F159">
        <v>113910.4</v>
      </c>
      <c r="G159" s="2">
        <v>-0.0066</v>
      </c>
      <c r="H159">
        <v>-90</v>
      </c>
      <c r="I159">
        <f t="shared" si="17"/>
        <v>606160.58</v>
      </c>
      <c r="J159" s="4">
        <f t="shared" si="20"/>
        <v>1.10937379343507</v>
      </c>
      <c r="K159" s="5">
        <f>1-(10000+I159)/(MAX(I$2:I159)+10000)</f>
        <v>0.104863742451108</v>
      </c>
      <c r="L159" s="2">
        <f t="shared" si="19"/>
        <v>-0.000131665107166667</v>
      </c>
      <c r="M159" s="5">
        <f t="shared" si="18"/>
        <v>-0.000146044487292815</v>
      </c>
    </row>
    <row r="160" spans="1:13">
      <c r="A160" t="s">
        <v>17</v>
      </c>
      <c r="B160" t="s">
        <v>14</v>
      </c>
      <c r="C160">
        <v>50</v>
      </c>
      <c r="D160" s="1">
        <v>45943.6444444444</v>
      </c>
      <c r="E160">
        <v>4152.99</v>
      </c>
      <c r="F160">
        <v>4088.64</v>
      </c>
      <c r="G160" s="2">
        <v>-0.7748</v>
      </c>
      <c r="H160">
        <v>-4505</v>
      </c>
      <c r="I160">
        <f t="shared" si="17"/>
        <v>601655.58</v>
      </c>
      <c r="J160" s="4">
        <f t="shared" si="20"/>
        <v>0.475335431035499</v>
      </c>
      <c r="K160" s="5">
        <f>1-(10000+I160)/(MAX(I$2:I160)+10000)</f>
        <v>0.111408446820638</v>
      </c>
      <c r="L160" s="2">
        <f t="shared" si="19"/>
        <v>-0.0154948603295457</v>
      </c>
      <c r="M160" s="5">
        <f t="shared" si="18"/>
        <v>-0.0073114057377705</v>
      </c>
    </row>
    <row r="161" spans="1:13">
      <c r="A161" t="s">
        <v>31</v>
      </c>
      <c r="B161" t="s">
        <v>14</v>
      </c>
      <c r="C161">
        <v>10</v>
      </c>
      <c r="D161" s="1">
        <v>45943.9909722222</v>
      </c>
      <c r="E161">
        <v>114209.08</v>
      </c>
      <c r="F161">
        <v>112454.8</v>
      </c>
      <c r="G161" s="2">
        <v>-0.1537</v>
      </c>
      <c r="H161">
        <v>-21100</v>
      </c>
      <c r="I161">
        <f t="shared" si="17"/>
        <v>580555.58</v>
      </c>
      <c r="J161" s="4">
        <f t="shared" si="20"/>
        <v>2.3260733141574</v>
      </c>
      <c r="K161" s="5">
        <f>1-(10000+I161)/(MAX(I$2:I161)+10000)</f>
        <v>0.14206177916183</v>
      </c>
      <c r="L161" s="2">
        <f t="shared" si="19"/>
        <v>-0.0153602498155138</v>
      </c>
      <c r="M161" s="5">
        <f t="shared" si="18"/>
        <v>-0.0344965380680415</v>
      </c>
    </row>
    <row r="162" spans="1:13">
      <c r="A162" t="s">
        <v>15</v>
      </c>
      <c r="B162" t="s">
        <v>16</v>
      </c>
      <c r="C162">
        <v>10</v>
      </c>
      <c r="D162" s="1">
        <v>45944.575</v>
      </c>
      <c r="E162">
        <v>0.5593</v>
      </c>
      <c r="F162">
        <v>0.4854</v>
      </c>
      <c r="G162" s="2">
        <v>1.3218</v>
      </c>
      <c r="H162">
        <v>7393</v>
      </c>
      <c r="I162">
        <f t="shared" si="17"/>
        <v>587948.58</v>
      </c>
      <c r="J162" s="4">
        <f t="shared" si="20"/>
        <v>0.0935744424826059</v>
      </c>
      <c r="K162" s="5">
        <f>1-(10000+I162)/(MAX(I$2:I162)+10000)</f>
        <v>0.131321490725885</v>
      </c>
      <c r="L162" s="2">
        <f t="shared" si="19"/>
        <v>-0.13212944752369</v>
      </c>
      <c r="M162" s="5">
        <f t="shared" si="18"/>
        <v>0.0125187200838912</v>
      </c>
    </row>
    <row r="163" spans="1:13">
      <c r="A163" t="s">
        <v>18</v>
      </c>
      <c r="B163" t="s">
        <v>16</v>
      </c>
      <c r="C163">
        <v>10</v>
      </c>
      <c r="D163" s="1">
        <v>45944.5756944444</v>
      </c>
      <c r="E163">
        <v>1.569e-5</v>
      </c>
      <c r="F163">
        <v>1.347e-5</v>
      </c>
      <c r="G163" s="2">
        <v>1.415</v>
      </c>
      <c r="H163">
        <v>8880</v>
      </c>
      <c r="I163">
        <f t="shared" si="17"/>
        <v>596828.58</v>
      </c>
      <c r="J163" s="4">
        <f t="shared" si="20"/>
        <v>0.103422946888889</v>
      </c>
      <c r="K163" s="5">
        <f>1-(10000+I163)/(MAX(I$2:I163)+10000)</f>
        <v>0.118420941380398</v>
      </c>
      <c r="L163" s="2">
        <f t="shared" si="19"/>
        <v>-0.141491395793499</v>
      </c>
      <c r="M163" s="5">
        <f t="shared" si="18"/>
        <v>0.0148507752957621</v>
      </c>
    </row>
    <row r="164" spans="1:13">
      <c r="A164" t="s">
        <v>37</v>
      </c>
      <c r="B164" t="s">
        <v>16</v>
      </c>
      <c r="C164">
        <v>10</v>
      </c>
      <c r="D164" s="1">
        <v>45944.5756944444</v>
      </c>
      <c r="E164">
        <v>0.02381</v>
      </c>
      <c r="F164">
        <v>0.02034</v>
      </c>
      <c r="G164" s="2">
        <v>1.4543</v>
      </c>
      <c r="H164">
        <v>6926</v>
      </c>
      <c r="I164">
        <f t="shared" ref="I164:I195" si="21">I163+H164</f>
        <v>603754.58</v>
      </c>
      <c r="J164" s="4">
        <f t="shared" si="20"/>
        <v>0.0774314981069854</v>
      </c>
      <c r="K164" s="5">
        <f>1-(10000+I164)/(MAX(I$2:I164)+10000)</f>
        <v>0.108359093996744</v>
      </c>
      <c r="L164" s="2">
        <f t="shared" si="19"/>
        <v>-0.145737085258295</v>
      </c>
      <c r="M164" s="5">
        <f t="shared" si="18"/>
        <v>0.0114134373829262</v>
      </c>
    </row>
    <row r="165" spans="1:13">
      <c r="A165" t="s">
        <v>47</v>
      </c>
      <c r="B165" t="s">
        <v>16</v>
      </c>
      <c r="C165">
        <v>10</v>
      </c>
      <c r="D165" s="1">
        <v>45944.5763888889</v>
      </c>
      <c r="E165">
        <v>7.5e-6</v>
      </c>
      <c r="F165">
        <v>7.46e-6</v>
      </c>
      <c r="G165" s="2">
        <v>0.0534</v>
      </c>
      <c r="H165">
        <v>120</v>
      </c>
      <c r="I165">
        <f t="shared" si="21"/>
        <v>603874.58</v>
      </c>
      <c r="J165" s="4">
        <f t="shared" si="20"/>
        <v>0.0366524380273242</v>
      </c>
      <c r="K165" s="5">
        <f>1-(10000+I165)/(MAX(I$2:I165)+10000)</f>
        <v>0.108184762248832</v>
      </c>
      <c r="L165" s="2">
        <f t="shared" si="19"/>
        <v>-0.00533333333333341</v>
      </c>
      <c r="M165" s="5">
        <f t="shared" si="18"/>
        <v>0.000195517889251433</v>
      </c>
    </row>
    <row r="166" spans="1:13">
      <c r="A166" t="s">
        <v>36</v>
      </c>
      <c r="B166" t="s">
        <v>16</v>
      </c>
      <c r="C166">
        <v>10</v>
      </c>
      <c r="D166" s="1">
        <v>45944.6416666667</v>
      </c>
      <c r="E166">
        <v>196.82</v>
      </c>
      <c r="F166">
        <v>183.73</v>
      </c>
      <c r="G166" s="2">
        <v>0.6647</v>
      </c>
      <c r="H166">
        <v>17000</v>
      </c>
      <c r="I166">
        <f t="shared" si="21"/>
        <v>620874.58</v>
      </c>
      <c r="J166" s="4">
        <f t="shared" si="20"/>
        <v>0.405168313502804</v>
      </c>
      <c r="K166" s="5">
        <f>1-(10000+I166)/(MAX(I$2:I166)+10000)</f>
        <v>0.0834877646279663</v>
      </c>
      <c r="L166" s="2">
        <f t="shared" si="19"/>
        <v>-0.0665074687531755</v>
      </c>
      <c r="M166" s="5">
        <f t="shared" si="18"/>
        <v>0.0276929531762009</v>
      </c>
    </row>
    <row r="167" spans="1:13">
      <c r="A167" t="s">
        <v>45</v>
      </c>
      <c r="B167" t="s">
        <v>16</v>
      </c>
      <c r="C167">
        <v>10</v>
      </c>
      <c r="D167" s="1">
        <v>45945.6819444444</v>
      </c>
      <c r="E167">
        <v>1205.6</v>
      </c>
      <c r="F167">
        <v>1150.7</v>
      </c>
      <c r="G167" s="2">
        <v>0.4554</v>
      </c>
      <c r="H167">
        <v>2745</v>
      </c>
      <c r="I167">
        <f t="shared" si="21"/>
        <v>623619.58</v>
      </c>
      <c r="J167" s="4">
        <f t="shared" si="20"/>
        <v>0.0951359489238009</v>
      </c>
      <c r="K167" s="5">
        <f>1-(10000+I167)/(MAX(I$2:I167)+10000)</f>
        <v>0.0794999258944794</v>
      </c>
      <c r="L167" s="2">
        <f t="shared" si="19"/>
        <v>-0.0455374917053748</v>
      </c>
      <c r="M167" s="5">
        <f t="shared" si="18"/>
        <v>0.00435110255987807</v>
      </c>
    </row>
    <row r="168" spans="1:13">
      <c r="A168" t="s">
        <v>42</v>
      </c>
      <c r="B168" t="s">
        <v>14</v>
      </c>
      <c r="C168">
        <v>10</v>
      </c>
      <c r="D168" s="1">
        <v>45947.1618055556</v>
      </c>
      <c r="E168">
        <v>0.4335</v>
      </c>
      <c r="F168">
        <v>0.4242</v>
      </c>
      <c r="G168" s="2">
        <v>-0.2146</v>
      </c>
      <c r="H168">
        <v>-93</v>
      </c>
      <c r="I168">
        <f t="shared" si="21"/>
        <v>623526.58</v>
      </c>
      <c r="J168" s="4">
        <f t="shared" si="20"/>
        <v>0.00684264896983486</v>
      </c>
      <c r="K168" s="5">
        <f>1-(10000+I168)/(MAX(I$2:I168)+10000)</f>
        <v>0.0796350329991112</v>
      </c>
      <c r="L168" s="2">
        <f t="shared" si="19"/>
        <v>-0.0214532871972318</v>
      </c>
      <c r="M168" s="5">
        <f t="shared" si="18"/>
        <v>-0.000146775767251384</v>
      </c>
    </row>
    <row r="169" spans="1:13">
      <c r="A169" t="s">
        <v>17</v>
      </c>
      <c r="B169" t="s">
        <v>16</v>
      </c>
      <c r="C169">
        <v>10</v>
      </c>
      <c r="D169" s="1">
        <v>45947.6256944444</v>
      </c>
      <c r="E169">
        <v>3797.52</v>
      </c>
      <c r="F169">
        <v>3725.79</v>
      </c>
      <c r="G169" s="2">
        <v>0.1889</v>
      </c>
      <c r="H169">
        <v>7174</v>
      </c>
      <c r="I169">
        <f t="shared" si="21"/>
        <v>630700.58</v>
      </c>
      <c r="J169" s="4">
        <f t="shared" si="20"/>
        <v>0.592796313475055</v>
      </c>
      <c r="K169" s="5">
        <f>1-(10000+I169)/(MAX(I$2:I169)+10000)</f>
        <v>0.069212900003106</v>
      </c>
      <c r="L169" s="2">
        <f t="shared" si="19"/>
        <v>-0.0188886431144536</v>
      </c>
      <c r="M169" s="5">
        <f t="shared" si="18"/>
        <v>0.0113239131971385</v>
      </c>
    </row>
    <row r="170" spans="1:13">
      <c r="A170" t="s">
        <v>45</v>
      </c>
      <c r="B170" t="s">
        <v>16</v>
      </c>
      <c r="C170">
        <v>10</v>
      </c>
      <c r="D170" s="1">
        <v>45947.6743055556</v>
      </c>
      <c r="E170">
        <v>1040.2</v>
      </c>
      <c r="F170">
        <v>1047</v>
      </c>
      <c r="G170" s="2">
        <v>-0.0654</v>
      </c>
      <c r="H170">
        <v>-340</v>
      </c>
      <c r="I170">
        <f t="shared" si="21"/>
        <v>630360.58</v>
      </c>
      <c r="J170" s="4">
        <f t="shared" si="20"/>
        <v>0.0812198652203105</v>
      </c>
      <c r="K170" s="5">
        <f>1-(10000+I170)/(MAX(I$2:I170)+10000)</f>
        <v>0.0697068399555233</v>
      </c>
      <c r="L170" s="2">
        <f t="shared" si="19"/>
        <v>0.00653720438377237</v>
      </c>
      <c r="M170" s="5">
        <f t="shared" si="18"/>
        <v>-0.000530669099753273</v>
      </c>
    </row>
    <row r="171" spans="1:13">
      <c r="A171" t="s">
        <v>42</v>
      </c>
      <c r="B171" t="s">
        <v>14</v>
      </c>
      <c r="C171">
        <v>10</v>
      </c>
      <c r="D171" s="1">
        <v>45947.7979166667</v>
      </c>
      <c r="E171">
        <v>0.3944</v>
      </c>
      <c r="F171">
        <v>0.4189</v>
      </c>
      <c r="G171" s="2">
        <v>0.6199</v>
      </c>
      <c r="H171">
        <v>4890</v>
      </c>
      <c r="I171">
        <f t="shared" si="21"/>
        <v>635250.58</v>
      </c>
      <c r="J171" s="4">
        <f t="shared" si="20"/>
        <v>0.121997597287186</v>
      </c>
      <c r="K171" s="5">
        <f>1-(10000+I171)/(MAX(I$2:I171)+10000)</f>
        <v>0.0626028212281096</v>
      </c>
      <c r="L171" s="2">
        <f t="shared" si="19"/>
        <v>0.0621196754563895</v>
      </c>
      <c r="M171" s="5">
        <f t="shared" si="18"/>
        <v>0.00763632264809305</v>
      </c>
    </row>
    <row r="172" spans="1:13">
      <c r="A172" t="s">
        <v>31</v>
      </c>
      <c r="B172" t="s">
        <v>14</v>
      </c>
      <c r="C172">
        <v>50</v>
      </c>
      <c r="D172" s="1">
        <v>45947.8215277778</v>
      </c>
      <c r="E172">
        <v>105436.66</v>
      </c>
      <c r="F172">
        <v>108192.39</v>
      </c>
      <c r="G172" s="2">
        <v>1.3069</v>
      </c>
      <c r="H172">
        <v>13800</v>
      </c>
      <c r="I172">
        <f t="shared" si="21"/>
        <v>649050.58</v>
      </c>
      <c r="J172" s="4">
        <f t="shared" si="20"/>
        <v>0.801152727652498</v>
      </c>
      <c r="K172" s="5">
        <f>1-(10000+I172)/(MAX(I$2:I172)+10000)</f>
        <v>0.0425546702182305</v>
      </c>
      <c r="L172" s="2">
        <f t="shared" si="19"/>
        <v>0.0261363552297653</v>
      </c>
      <c r="M172" s="5">
        <f t="shared" si="18"/>
        <v>0.0213870400550434</v>
      </c>
    </row>
    <row r="173" spans="1:13">
      <c r="A173" t="s">
        <v>17</v>
      </c>
      <c r="B173" t="s">
        <v>14</v>
      </c>
      <c r="C173">
        <v>100</v>
      </c>
      <c r="D173" s="1">
        <v>45948.0430555556</v>
      </c>
      <c r="E173">
        <v>3856.37</v>
      </c>
      <c r="F173">
        <v>3866.13</v>
      </c>
      <c r="G173" s="2">
        <v>0.2532</v>
      </c>
      <c r="H173">
        <v>976</v>
      </c>
      <c r="I173">
        <f t="shared" si="21"/>
        <v>650026.58</v>
      </c>
      <c r="J173" s="4">
        <f t="shared" si="20"/>
        <v>0.584274954502575</v>
      </c>
      <c r="K173" s="5">
        <f>1-(10000+I173)/(MAX(I$2:I173)+10000)</f>
        <v>0.0411367720018796</v>
      </c>
      <c r="L173" s="2">
        <f t="shared" si="19"/>
        <v>0.00253087748322911</v>
      </c>
      <c r="M173" s="5">
        <f t="shared" si="18"/>
        <v>0.0014809182020597</v>
      </c>
    </row>
    <row r="174" spans="1:13">
      <c r="A174" t="s">
        <v>48</v>
      </c>
      <c r="B174" t="s">
        <v>14</v>
      </c>
      <c r="C174">
        <v>10</v>
      </c>
      <c r="D174" s="1">
        <v>45950.6076388889</v>
      </c>
      <c r="E174">
        <v>0.1056</v>
      </c>
      <c r="F174">
        <v>0.09703</v>
      </c>
      <c r="G174" s="2">
        <v>-0.8139</v>
      </c>
      <c r="H174">
        <v>-1719</v>
      </c>
      <c r="I174">
        <f t="shared" si="21"/>
        <v>648307.58</v>
      </c>
      <c r="J174" s="4">
        <f t="shared" si="20"/>
        <v>0.0321758565629429</v>
      </c>
      <c r="K174" s="5">
        <f>1-(10000+I174)/(MAX(I$2:I174)+10000)</f>
        <v>0.0436340742907189</v>
      </c>
      <c r="L174" s="2">
        <f t="shared" si="19"/>
        <v>-0.0811553030303029</v>
      </c>
      <c r="M174" s="5">
        <f t="shared" si="18"/>
        <v>-0.00260444056662082</v>
      </c>
    </row>
    <row r="175" spans="1:13">
      <c r="A175" t="s">
        <v>49</v>
      </c>
      <c r="B175" t="s">
        <v>14</v>
      </c>
      <c r="C175">
        <v>10</v>
      </c>
      <c r="D175" s="1">
        <v>45951.5965277778</v>
      </c>
      <c r="E175">
        <v>3960.64</v>
      </c>
      <c r="F175">
        <v>3962.24</v>
      </c>
      <c r="G175" s="2">
        <v>0.0041</v>
      </c>
      <c r="H175">
        <v>16</v>
      </c>
      <c r="I175">
        <f t="shared" si="21"/>
        <v>648323.58</v>
      </c>
      <c r="J175" s="4">
        <f t="shared" si="20"/>
        <v>0.0601625115722139</v>
      </c>
      <c r="K175" s="5">
        <f>1-(10000+I175)/(MAX(I$2:I175)+10000)</f>
        <v>0.043610830057664</v>
      </c>
      <c r="L175" s="2">
        <f t="shared" si="19"/>
        <v>0.000403975115132793</v>
      </c>
      <c r="M175" s="5">
        <f t="shared" si="18"/>
        <v>2.43047482454934e-5</v>
      </c>
    </row>
    <row r="176" spans="1:13">
      <c r="A176" t="s">
        <v>36</v>
      </c>
      <c r="B176" t="s">
        <v>14</v>
      </c>
      <c r="C176">
        <v>10</v>
      </c>
      <c r="D176" s="1">
        <v>45952.025</v>
      </c>
      <c r="E176">
        <v>194.06</v>
      </c>
      <c r="F176">
        <v>182.42</v>
      </c>
      <c r="G176" s="2">
        <v>-0.5997</v>
      </c>
      <c r="H176">
        <v>-19800</v>
      </c>
      <c r="I176">
        <f t="shared" si="21"/>
        <v>628523.58</v>
      </c>
      <c r="J176" s="4">
        <f t="shared" si="20"/>
        <v>0.516977089327961</v>
      </c>
      <c r="K176" s="5">
        <f>1-(10000+I176)/(MAX(I$2:I176)+10000)</f>
        <v>0.0723755684631426</v>
      </c>
      <c r="L176" s="2">
        <f t="shared" si="19"/>
        <v>-0.0599814490363806</v>
      </c>
      <c r="M176" s="5">
        <f t="shared" si="18"/>
        <v>-0.0300763949545906</v>
      </c>
    </row>
    <row r="177" spans="1:13">
      <c r="A177" t="s">
        <v>15</v>
      </c>
      <c r="B177" t="s">
        <v>16</v>
      </c>
      <c r="C177">
        <v>10</v>
      </c>
      <c r="D177" s="1">
        <v>45953.8715277778</v>
      </c>
      <c r="E177">
        <v>0.5279</v>
      </c>
      <c r="F177">
        <v>0.4734</v>
      </c>
      <c r="G177" s="2">
        <v>1.0338</v>
      </c>
      <c r="H177">
        <v>13600</v>
      </c>
      <c r="I177">
        <f t="shared" si="21"/>
        <v>642123.58</v>
      </c>
      <c r="J177" s="4">
        <f t="shared" si="20"/>
        <v>0.202005951136895</v>
      </c>
      <c r="K177" s="5">
        <f>1-(10000+I177)/(MAX(I$2:I177)+10000)</f>
        <v>0.0526179703664502</v>
      </c>
      <c r="L177" s="2">
        <f t="shared" si="19"/>
        <v>-0.103239249857928</v>
      </c>
      <c r="M177" s="5">
        <f t="shared" si="18"/>
        <v>0.0212991351079</v>
      </c>
    </row>
    <row r="178" spans="1:13">
      <c r="A178" t="s">
        <v>17</v>
      </c>
      <c r="B178" t="s">
        <v>14</v>
      </c>
      <c r="C178">
        <v>100</v>
      </c>
      <c r="D178" s="1">
        <v>45954.4506944444</v>
      </c>
      <c r="E178">
        <v>3927.4</v>
      </c>
      <c r="F178">
        <v>3927.92</v>
      </c>
      <c r="G178" s="2">
        <v>0.0133</v>
      </c>
      <c r="H178">
        <v>78</v>
      </c>
      <c r="I178">
        <f t="shared" si="21"/>
        <v>642201.58</v>
      </c>
      <c r="J178" s="4">
        <f t="shared" si="20"/>
        <v>0.903263681145685</v>
      </c>
      <c r="K178" s="5">
        <f>1-(10000+I178)/(MAX(I$2:I178)+10000)</f>
        <v>0.0525046547303074</v>
      </c>
      <c r="L178" s="2">
        <f t="shared" si="19"/>
        <v>0.000132403116565705</v>
      </c>
      <c r="M178" s="5">
        <f t="shared" si="18"/>
        <v>0.0001196092311215</v>
      </c>
    </row>
    <row r="179" spans="1:13">
      <c r="A179" t="s">
        <v>37</v>
      </c>
      <c r="B179" t="s">
        <v>16</v>
      </c>
      <c r="C179">
        <v>10</v>
      </c>
      <c r="D179" s="1">
        <v>45956.4576388889</v>
      </c>
      <c r="E179">
        <v>0.02092</v>
      </c>
      <c r="F179">
        <v>0.01569</v>
      </c>
      <c r="G179" s="2">
        <v>2.4974</v>
      </c>
      <c r="H179">
        <v>15700</v>
      </c>
      <c r="I179">
        <f t="shared" si="21"/>
        <v>657901.58</v>
      </c>
      <c r="J179" s="4">
        <f t="shared" si="20"/>
        <v>0.0940258293744416</v>
      </c>
      <c r="K179" s="5">
        <f>1-(10000+I179)/(MAX(I$2:I179)+10000)</f>
        <v>0.0296962510451551</v>
      </c>
      <c r="L179" s="2">
        <f t="shared" ref="L179:L208" si="22">F179/E179-1</f>
        <v>-0.25</v>
      </c>
      <c r="M179" s="5">
        <f t="shared" si="18"/>
        <v>0.0240723121216603</v>
      </c>
    </row>
    <row r="180" spans="1:13">
      <c r="A180" t="s">
        <v>18</v>
      </c>
      <c r="B180" t="s">
        <v>16</v>
      </c>
      <c r="C180">
        <v>10</v>
      </c>
      <c r="D180" s="1">
        <v>45956.6409722222</v>
      </c>
      <c r="E180">
        <v>1.475e-5</v>
      </c>
      <c r="F180">
        <v>1.234e-5</v>
      </c>
      <c r="G180" s="2">
        <v>1.6339</v>
      </c>
      <c r="H180">
        <v>12100</v>
      </c>
      <c r="I180">
        <f t="shared" si="21"/>
        <v>670001.58</v>
      </c>
      <c r="J180" s="4">
        <f t="shared" si="20"/>
        <v>0.108905653715555</v>
      </c>
      <c r="K180" s="5">
        <f>1-(10000+I180)/(MAX(I$2:I180)+10000)</f>
        <v>0.0121177997973625</v>
      </c>
      <c r="L180" s="2">
        <f t="shared" si="22"/>
        <v>-0.163389830508475</v>
      </c>
      <c r="M180" s="5">
        <f t="shared" si="18"/>
        <v>0.0181164416469864</v>
      </c>
    </row>
    <row r="181" spans="1:13">
      <c r="A181" t="s">
        <v>17</v>
      </c>
      <c r="B181" t="s">
        <v>14</v>
      </c>
      <c r="C181">
        <v>100</v>
      </c>
      <c r="D181" s="1">
        <v>45958.03125</v>
      </c>
      <c r="E181">
        <v>4192.5</v>
      </c>
      <c r="F181">
        <v>4093.03</v>
      </c>
      <c r="G181" s="2">
        <v>-2.3725</v>
      </c>
      <c r="H181">
        <v>-5968</v>
      </c>
      <c r="I181">
        <f t="shared" si="21"/>
        <v>664033.58</v>
      </c>
      <c r="J181" s="4">
        <f t="shared" si="20"/>
        <v>0.373188484648956</v>
      </c>
      <c r="K181" s="5">
        <f>1-(10000+I181)/(MAX(I$2:I181)+10000)</f>
        <v>0.0207878987268523</v>
      </c>
      <c r="L181" s="2">
        <f t="shared" si="22"/>
        <v>-0.0237257006559332</v>
      </c>
      <c r="M181" s="5">
        <f t="shared" si="18"/>
        <v>-0.00877645019589513</v>
      </c>
    </row>
    <row r="182" spans="1:13">
      <c r="A182" t="s">
        <v>36</v>
      </c>
      <c r="B182" t="s">
        <v>16</v>
      </c>
      <c r="C182">
        <v>10</v>
      </c>
      <c r="D182" s="1">
        <v>45958.45625</v>
      </c>
      <c r="E182">
        <v>200.58</v>
      </c>
      <c r="F182">
        <v>199.87</v>
      </c>
      <c r="G182" s="2">
        <v>0.0354</v>
      </c>
      <c r="H182">
        <v>71</v>
      </c>
      <c r="I182">
        <f t="shared" si="21"/>
        <v>664104.58</v>
      </c>
      <c r="J182" s="4">
        <f t="shared" si="20"/>
        <v>0.0297550270315619</v>
      </c>
      <c r="K182" s="5">
        <f>1-(10000+I182)/(MAX(I$2:I182)+10000)</f>
        <v>0.020684752442671</v>
      </c>
      <c r="L182" s="2">
        <f t="shared" si="22"/>
        <v>-0.00353973476916947</v>
      </c>
      <c r="M182" s="5">
        <f t="shared" si="18"/>
        <v>0.000105335998245073</v>
      </c>
    </row>
    <row r="183" spans="1:13">
      <c r="A183" t="s">
        <v>17</v>
      </c>
      <c r="B183" t="s">
        <v>14</v>
      </c>
      <c r="C183">
        <v>100</v>
      </c>
      <c r="D183" s="1">
        <v>45958.6145833333</v>
      </c>
      <c r="E183">
        <v>4099.27</v>
      </c>
      <c r="F183">
        <v>4099.08</v>
      </c>
      <c r="G183" s="2">
        <v>-0.0047</v>
      </c>
      <c r="H183">
        <v>-5.76</v>
      </c>
      <c r="I183">
        <f t="shared" si="21"/>
        <v>664098.82</v>
      </c>
      <c r="J183" s="4">
        <f t="shared" si="20"/>
        <v>0.184353692111953</v>
      </c>
      <c r="K183" s="5">
        <f>1-(10000+I183)/(MAX(I$2:I183)+10000)</f>
        <v>0.0206931203665708</v>
      </c>
      <c r="L183" s="2">
        <f t="shared" si="22"/>
        <v>-4.63497159252091e-5</v>
      </c>
      <c r="M183" s="5">
        <f t="shared" si="18"/>
        <v>-8.54466824717316e-6</v>
      </c>
    </row>
    <row r="184" spans="1:13">
      <c r="A184" t="s">
        <v>36</v>
      </c>
      <c r="B184" t="s">
        <v>16</v>
      </c>
      <c r="C184">
        <v>10</v>
      </c>
      <c r="D184" s="1">
        <v>45958.7763888889</v>
      </c>
      <c r="E184">
        <v>199.77</v>
      </c>
      <c r="F184">
        <v>200.32</v>
      </c>
      <c r="G184" s="2">
        <v>-0.0273</v>
      </c>
      <c r="H184">
        <v>-545</v>
      </c>
      <c r="I184">
        <f t="shared" si="21"/>
        <v>663553.82</v>
      </c>
      <c r="J184" s="4">
        <f t="shared" ref="J184:J208" si="23">ABS(H184/L184)/(I184+10000)</f>
        <v>0.293894716670016</v>
      </c>
      <c r="K184" s="5">
        <f>1-(10000+I184)/(MAX(I$2:I184)+10000)</f>
        <v>0.0214848770550045</v>
      </c>
      <c r="L184" s="2">
        <f t="shared" si="22"/>
        <v>0.00275316614106225</v>
      </c>
      <c r="M184" s="5">
        <f t="shared" si="18"/>
        <v>-0.000808486803166337</v>
      </c>
    </row>
    <row r="185" spans="1:13">
      <c r="A185" t="s">
        <v>31</v>
      </c>
      <c r="B185" t="s">
        <v>16</v>
      </c>
      <c r="C185">
        <v>10</v>
      </c>
      <c r="D185" s="1">
        <v>45959.4520833333</v>
      </c>
      <c r="E185">
        <v>110441.68</v>
      </c>
      <c r="F185">
        <v>108564.15</v>
      </c>
      <c r="G185" s="2">
        <v>0.1701</v>
      </c>
      <c r="H185">
        <v>15000</v>
      </c>
      <c r="I185">
        <f t="shared" si="21"/>
        <v>678553.82</v>
      </c>
      <c r="J185" s="4">
        <f t="shared" si="23"/>
        <v>1.28144357017777</v>
      </c>
      <c r="K185" s="5">
        <f>1-(10000+I185)/(MAX(I$2:I185)+10000)</f>
        <v>0</v>
      </c>
      <c r="L185" s="2">
        <f t="shared" si="22"/>
        <v>-0.0170001941296076</v>
      </c>
      <c r="M185" s="5">
        <f t="shared" si="18"/>
        <v>0.0222699353111827</v>
      </c>
    </row>
    <row r="186" spans="1:13">
      <c r="A186" t="s">
        <v>17</v>
      </c>
      <c r="B186" t="s">
        <v>16</v>
      </c>
      <c r="C186">
        <v>10</v>
      </c>
      <c r="D186" s="1">
        <v>45959.6375</v>
      </c>
      <c r="E186">
        <v>3937.31</v>
      </c>
      <c r="F186">
        <v>3631.57</v>
      </c>
      <c r="G186" s="2">
        <v>0.7766</v>
      </c>
      <c r="H186">
        <v>30600</v>
      </c>
      <c r="I186">
        <f t="shared" si="21"/>
        <v>709153.82</v>
      </c>
      <c r="J186" s="4">
        <f t="shared" si="23"/>
        <v>0.54795763606375</v>
      </c>
      <c r="K186" s="5">
        <f>1-(10000+I186)/(MAX(I$2:I186)+10000)</f>
        <v>0</v>
      </c>
      <c r="L186" s="2">
        <f t="shared" si="22"/>
        <v>-0.0776520009854443</v>
      </c>
      <c r="M186" s="5">
        <f t="shared" si="18"/>
        <v>0.0444409704966854</v>
      </c>
    </row>
    <row r="187" spans="1:13">
      <c r="A187" t="s">
        <v>50</v>
      </c>
      <c r="B187" t="s">
        <v>16</v>
      </c>
      <c r="C187">
        <v>10</v>
      </c>
      <c r="D187" s="1">
        <v>45959.6625</v>
      </c>
      <c r="E187">
        <v>152.22</v>
      </c>
      <c r="F187">
        <v>152.09</v>
      </c>
      <c r="G187" s="2">
        <v>0.0085</v>
      </c>
      <c r="H187">
        <v>6.46</v>
      </c>
      <c r="I187">
        <f t="shared" si="21"/>
        <v>709160.28</v>
      </c>
      <c r="J187" s="4">
        <f t="shared" si="23"/>
        <v>0.0105180490181181</v>
      </c>
      <c r="K187" s="5">
        <f>1-(10000+I187)/(MAX(I$2:I187)+10000)</f>
        <v>0</v>
      </c>
      <c r="L187" s="2">
        <f t="shared" si="22"/>
        <v>-0.000854027066088503</v>
      </c>
      <c r="M187" s="5">
        <f t="shared" si="18"/>
        <v>8.98277923351641e-6</v>
      </c>
    </row>
    <row r="188" spans="1:13">
      <c r="A188" t="s">
        <v>36</v>
      </c>
      <c r="B188" t="s">
        <v>16</v>
      </c>
      <c r="C188">
        <v>10</v>
      </c>
      <c r="D188" s="1">
        <v>45960.0548611111</v>
      </c>
      <c r="E188">
        <v>194.71</v>
      </c>
      <c r="F188">
        <v>194.38</v>
      </c>
      <c r="G188" s="2">
        <v>0.017</v>
      </c>
      <c r="H188">
        <v>165</v>
      </c>
      <c r="I188">
        <f t="shared" si="21"/>
        <v>709325.28</v>
      </c>
      <c r="J188" s="4">
        <f t="shared" si="23"/>
        <v>0.135342108371332</v>
      </c>
      <c r="K188" s="5">
        <f>1-(10000+I188)/(MAX(I$2:I188)+10000)</f>
        <v>0</v>
      </c>
      <c r="L188" s="2">
        <f t="shared" si="22"/>
        <v>-0.00169482820605005</v>
      </c>
      <c r="M188" s="5">
        <f t="shared" si="18"/>
        <v>0.00022943425073476</v>
      </c>
    </row>
    <row r="189" spans="1:13">
      <c r="A189" t="s">
        <v>43</v>
      </c>
      <c r="B189" t="s">
        <v>14</v>
      </c>
      <c r="C189">
        <v>10</v>
      </c>
      <c r="D189" s="1">
        <v>45963.9444444444</v>
      </c>
      <c r="E189">
        <v>1.1765</v>
      </c>
      <c r="F189">
        <v>1.18</v>
      </c>
      <c r="G189" s="2">
        <v>0.0296</v>
      </c>
      <c r="H189">
        <v>38.3</v>
      </c>
      <c r="I189">
        <f t="shared" si="21"/>
        <v>709363.58</v>
      </c>
      <c r="J189" s="4">
        <f t="shared" si="23"/>
        <v>0.0178967517768581</v>
      </c>
      <c r="K189" s="5">
        <f>1-(10000+I189)/(MAX(I$2:I189)+10000)</f>
        <v>0</v>
      </c>
      <c r="L189" s="2">
        <f t="shared" si="22"/>
        <v>0.00297492562685919</v>
      </c>
      <c r="M189" s="5">
        <f t="shared" si="18"/>
        <v>5.32443403073502e-5</v>
      </c>
    </row>
    <row r="190" spans="1:13">
      <c r="A190" t="s">
        <v>36</v>
      </c>
      <c r="B190" t="s">
        <v>16</v>
      </c>
      <c r="C190">
        <v>10</v>
      </c>
      <c r="D190" s="1">
        <v>45964.0041666667</v>
      </c>
      <c r="E190">
        <v>183.16</v>
      </c>
      <c r="F190">
        <v>169.27</v>
      </c>
      <c r="G190" s="2">
        <v>0.7579</v>
      </c>
      <c r="H190">
        <v>6940</v>
      </c>
      <c r="I190">
        <f t="shared" si="21"/>
        <v>716303.58</v>
      </c>
      <c r="J190" s="4">
        <f t="shared" si="23"/>
        <v>0.125999747481055</v>
      </c>
      <c r="K190" s="5">
        <f>1-(10000+I190)/(MAX(I$2:I190)+10000)</f>
        <v>0</v>
      </c>
      <c r="L190" s="2">
        <f t="shared" si="22"/>
        <v>-0.0758353352260318</v>
      </c>
      <c r="M190" s="5">
        <f t="shared" si="18"/>
        <v>0.00964741640103604</v>
      </c>
    </row>
    <row r="191" spans="1:13">
      <c r="A191" t="s">
        <v>31</v>
      </c>
      <c r="B191" t="s">
        <v>14</v>
      </c>
      <c r="C191">
        <v>10</v>
      </c>
      <c r="D191" s="1">
        <v>45965.5583333333</v>
      </c>
      <c r="E191">
        <v>105577.98</v>
      </c>
      <c r="F191">
        <v>103911.9</v>
      </c>
      <c r="G191" s="2">
        <v>-0.1579</v>
      </c>
      <c r="H191">
        <v>-4998</v>
      </c>
      <c r="I191">
        <f t="shared" si="21"/>
        <v>711305.58</v>
      </c>
      <c r="J191" s="4">
        <f t="shared" si="23"/>
        <v>0.439090920962316</v>
      </c>
      <c r="K191" s="5">
        <f>1-(10000+I191)/(MAX(I$2:I191)+10000)</f>
        <v>0.00688142002549408</v>
      </c>
      <c r="L191" s="2">
        <f t="shared" si="22"/>
        <v>-0.015780563333377</v>
      </c>
      <c r="M191" s="5">
        <f t="shared" si="18"/>
        <v>-0.00688142002549402</v>
      </c>
    </row>
    <row r="192" spans="1:13">
      <c r="A192" t="s">
        <v>31</v>
      </c>
      <c r="B192" t="s">
        <v>14</v>
      </c>
      <c r="C192">
        <v>10</v>
      </c>
      <c r="D192" s="1">
        <v>45965.9541666667</v>
      </c>
      <c r="E192">
        <v>104364.45</v>
      </c>
      <c r="F192">
        <v>101523.8</v>
      </c>
      <c r="G192" s="2">
        <v>-0.2722</v>
      </c>
      <c r="H192">
        <v>-28400</v>
      </c>
      <c r="I192">
        <f t="shared" si="21"/>
        <v>682905.58</v>
      </c>
      <c r="J192" s="4">
        <f t="shared" si="23"/>
        <v>1.50584108784222</v>
      </c>
      <c r="K192" s="5">
        <f>1-(10000+I192)/(MAX(I$2:I192)+10000)</f>
        <v>0.045983526612935</v>
      </c>
      <c r="L192" s="2">
        <f t="shared" si="22"/>
        <v>-0.0272185595765607</v>
      </c>
      <c r="M192" s="5">
        <f t="shared" si="18"/>
        <v>-0.0393730490758161</v>
      </c>
    </row>
    <row r="193" spans="1:13">
      <c r="A193" t="s">
        <v>36</v>
      </c>
      <c r="B193" t="s">
        <v>14</v>
      </c>
      <c r="C193">
        <v>10</v>
      </c>
      <c r="D193" s="1">
        <v>45965.9826388889</v>
      </c>
      <c r="E193">
        <v>163.5</v>
      </c>
      <c r="F193">
        <v>158.52</v>
      </c>
      <c r="G193" s="2">
        <v>-0.3046</v>
      </c>
      <c r="H193">
        <v>-498</v>
      </c>
      <c r="I193">
        <f t="shared" si="21"/>
        <v>682407.58</v>
      </c>
      <c r="J193" s="4">
        <f t="shared" si="23"/>
        <v>0.0236132596930843</v>
      </c>
      <c r="K193" s="5">
        <f>1-(10000+I193)/(MAX(I$2:I193)+10000)</f>
        <v>0.0466691903129542</v>
      </c>
      <c r="L193" s="2">
        <f t="shared" si="22"/>
        <v>-0.0304587155963302</v>
      </c>
      <c r="M193" s="5">
        <f t="shared" si="18"/>
        <v>-0.0007187126419158</v>
      </c>
    </row>
    <row r="194" spans="1:13">
      <c r="A194" t="s">
        <v>31</v>
      </c>
      <c r="B194" t="s">
        <v>14</v>
      </c>
      <c r="C194">
        <v>10</v>
      </c>
      <c r="D194" s="1">
        <v>45966.0645833333</v>
      </c>
      <c r="E194">
        <v>101167.78</v>
      </c>
      <c r="F194">
        <v>101575.4</v>
      </c>
      <c r="G194" s="2">
        <v>0.0403</v>
      </c>
      <c r="H194">
        <v>4076</v>
      </c>
      <c r="I194">
        <f t="shared" si="21"/>
        <v>686483.58</v>
      </c>
      <c r="J194" s="4">
        <f t="shared" si="23"/>
        <v>1.45247955697572</v>
      </c>
      <c r="K194" s="5">
        <f>1-(10000+I194)/(MAX(I$2:I194)+10000)</f>
        <v>0.0410572119168131</v>
      </c>
      <c r="L194" s="2">
        <f t="shared" si="22"/>
        <v>0.00402914841068958</v>
      </c>
      <c r="M194" s="5">
        <f t="shared" si="18"/>
        <v>0.00588670620850222</v>
      </c>
    </row>
    <row r="195" spans="1:13">
      <c r="A195" t="s">
        <v>17</v>
      </c>
      <c r="B195" t="s">
        <v>14</v>
      </c>
      <c r="C195">
        <v>10</v>
      </c>
      <c r="D195" s="1">
        <v>45966.3652777778</v>
      </c>
      <c r="E195">
        <v>3222.28</v>
      </c>
      <c r="F195">
        <v>3296.59</v>
      </c>
      <c r="G195" s="2">
        <v>0.2306</v>
      </c>
      <c r="H195">
        <v>11100</v>
      </c>
      <c r="I195">
        <f t="shared" si="21"/>
        <v>697583.58</v>
      </c>
      <c r="J195" s="4">
        <f t="shared" si="23"/>
        <v>0.680238560439486</v>
      </c>
      <c r="K195" s="5">
        <f>1-(10000+I195)/(MAX(I$2:I195)+10000)</f>
        <v>0.0257743463139752</v>
      </c>
      <c r="L195" s="2">
        <f t="shared" si="22"/>
        <v>0.023061310624775</v>
      </c>
      <c r="M195" s="5">
        <f t="shared" si="18"/>
        <v>0.0159372027119433</v>
      </c>
    </row>
    <row r="196" spans="1:13">
      <c r="A196" t="s">
        <v>31</v>
      </c>
      <c r="B196" t="s">
        <v>16</v>
      </c>
      <c r="C196">
        <v>10</v>
      </c>
      <c r="D196" s="1">
        <v>45966.9069444444</v>
      </c>
      <c r="E196">
        <v>103048.96</v>
      </c>
      <c r="F196">
        <v>103177.22</v>
      </c>
      <c r="G196" s="2">
        <v>-0.0125</v>
      </c>
      <c r="H196">
        <v>-385</v>
      </c>
      <c r="I196">
        <f>I195+H196</f>
        <v>697198.58</v>
      </c>
      <c r="J196" s="4">
        <f t="shared" si="23"/>
        <v>0.437392897994277</v>
      </c>
      <c r="K196" s="5">
        <f>1-(10000+I196)/(MAX(I$2:I196)+10000)</f>
        <v>0.0263044276884881</v>
      </c>
      <c r="L196" s="2">
        <f t="shared" si="22"/>
        <v>0.00124465108624094</v>
      </c>
      <c r="M196" s="5">
        <f>H196/(10000+I195)</f>
        <v>-0.00054410533381795</v>
      </c>
    </row>
    <row r="197" spans="1:13">
      <c r="A197" t="s">
        <v>42</v>
      </c>
      <c r="B197" t="s">
        <v>14</v>
      </c>
      <c r="C197">
        <v>10</v>
      </c>
      <c r="D197" s="1">
        <v>45966.9131944444</v>
      </c>
      <c r="E197">
        <v>0.3113</v>
      </c>
      <c r="F197">
        <v>0.2927</v>
      </c>
      <c r="G197" s="2">
        <v>-0.5946</v>
      </c>
      <c r="H197">
        <v>-3701</v>
      </c>
      <c r="I197">
        <f>I196+H197</f>
        <v>693497.58</v>
      </c>
      <c r="J197" s="4">
        <f t="shared" si="23"/>
        <v>0.0880486403042696</v>
      </c>
      <c r="K197" s="5">
        <f>1-(10000+I197)/(MAX(I$2:I197)+10000)</f>
        <v>0.0314000930575064</v>
      </c>
      <c r="L197" s="2">
        <f t="shared" si="22"/>
        <v>-0.0597494378413106</v>
      </c>
      <c r="M197" s="5">
        <f>H197/(10000+I196)</f>
        <v>-0.00523332498772834</v>
      </c>
    </row>
    <row r="198" spans="1:13">
      <c r="A198" t="s">
        <v>17</v>
      </c>
      <c r="B198" t="s">
        <v>14</v>
      </c>
      <c r="C198">
        <v>10</v>
      </c>
      <c r="D198" s="1">
        <v>45969.01875</v>
      </c>
      <c r="E198">
        <v>3300</v>
      </c>
      <c r="F198">
        <v>3404.82</v>
      </c>
      <c r="G198" s="2">
        <v>0.3177</v>
      </c>
      <c r="H198">
        <v>10500</v>
      </c>
      <c r="I198">
        <f>I197+H198</f>
        <v>703997.58</v>
      </c>
      <c r="J198" s="4">
        <f t="shared" si="23"/>
        <v>0.462980120670709</v>
      </c>
      <c r="K198" s="5">
        <f>1-(10000+I198)/(MAX(I$2:I198)+10000)</f>
        <v>0.0169433282980651</v>
      </c>
      <c r="L198" s="2">
        <f t="shared" si="22"/>
        <v>0.0317636363636364</v>
      </c>
      <c r="M198" s="5">
        <f>H198/(10000+I197)</f>
        <v>0.0149254244769399</v>
      </c>
    </row>
    <row r="199" spans="1:13">
      <c r="A199" t="s">
        <v>51</v>
      </c>
      <c r="B199" t="s">
        <v>14</v>
      </c>
      <c r="C199">
        <v>10</v>
      </c>
      <c r="D199" s="1">
        <v>45969.0361111111</v>
      </c>
      <c r="E199">
        <v>6.805</v>
      </c>
      <c r="F199">
        <v>8.1906</v>
      </c>
      <c r="G199" s="2">
        <v>2.0363</v>
      </c>
      <c r="H199">
        <v>1386</v>
      </c>
      <c r="I199">
        <f>I198+H199</f>
        <v>705383.58</v>
      </c>
      <c r="J199" s="4">
        <f t="shared" si="23"/>
        <v>0.00951512542672122</v>
      </c>
      <c r="K199" s="5">
        <f>1-(10000+I199)/(MAX(I$2:I199)+10000)</f>
        <v>0.0150350353498189</v>
      </c>
      <c r="L199" s="2">
        <f t="shared" si="22"/>
        <v>0.203614988978692</v>
      </c>
      <c r="M199" s="5">
        <f>H199/(10000+I198)</f>
        <v>0.00194118304994815</v>
      </c>
    </row>
    <row r="200" spans="1:13">
      <c r="A200" t="s">
        <v>29</v>
      </c>
      <c r="B200" t="s">
        <v>14</v>
      </c>
      <c r="C200">
        <v>10</v>
      </c>
      <c r="D200" s="1">
        <v>45969.04375</v>
      </c>
      <c r="E200">
        <v>0.01563</v>
      </c>
      <c r="F200">
        <v>0.01359</v>
      </c>
      <c r="G200" s="2">
        <v>-1.3073</v>
      </c>
      <c r="H200">
        <v>-1022</v>
      </c>
      <c r="I200">
        <f>I199+H200</f>
        <v>704361.58</v>
      </c>
      <c r="J200" s="4">
        <f t="shared" si="23"/>
        <v>0.0109612887207789</v>
      </c>
      <c r="K200" s="5">
        <f>1-(10000+I200)/(MAX(I$2:I200)+10000)</f>
        <v>0.0164421604530711</v>
      </c>
      <c r="L200" s="2">
        <f t="shared" si="22"/>
        <v>-0.130518234165067</v>
      </c>
      <c r="M200" s="5">
        <f>H200/(10000+I199)</f>
        <v>-0.00142860421817342</v>
      </c>
    </row>
    <row r="201" spans="1:13">
      <c r="A201" t="s">
        <v>52</v>
      </c>
      <c r="B201" t="s">
        <v>16</v>
      </c>
      <c r="C201">
        <v>10</v>
      </c>
      <c r="D201" s="1">
        <v>45970.6791666667</v>
      </c>
      <c r="E201">
        <v>645</v>
      </c>
      <c r="F201">
        <v>644</v>
      </c>
      <c r="G201" s="2">
        <v>0.0156</v>
      </c>
      <c r="H201">
        <v>200</v>
      </c>
      <c r="I201">
        <f>I200+H201</f>
        <v>704561.58</v>
      </c>
      <c r="J201" s="4">
        <f t="shared" si="23"/>
        <v>0.180530277040648</v>
      </c>
      <c r="K201" s="5">
        <f>1-(10000+I201)/(MAX(I$2:I201)+10000)</f>
        <v>0.0161667935052723</v>
      </c>
      <c r="L201" s="2">
        <f t="shared" si="22"/>
        <v>-0.00155038759689918</v>
      </c>
      <c r="M201" s="5">
        <f>H201/(10000+I200)</f>
        <v>0.000279970263798341</v>
      </c>
    </row>
    <row r="202" spans="1:13">
      <c r="A202" t="s">
        <v>52</v>
      </c>
      <c r="B202" t="s">
        <v>16</v>
      </c>
      <c r="C202">
        <v>10</v>
      </c>
      <c r="D202" s="1">
        <v>45972.3840277778</v>
      </c>
      <c r="E202">
        <v>527.23</v>
      </c>
      <c r="F202">
        <v>447.66</v>
      </c>
      <c r="G202" s="2">
        <v>1.5093</v>
      </c>
      <c r="H202">
        <v>46.9</v>
      </c>
      <c r="I202">
        <f>I201+H202</f>
        <v>704608.48</v>
      </c>
      <c r="J202" s="4">
        <f t="shared" si="23"/>
        <v>0.000434865979588067</v>
      </c>
      <c r="K202" s="5">
        <f>1-(10000+I202)/(MAX(I$2:I202)+10000)</f>
        <v>0.0161022199560134</v>
      </c>
      <c r="L202" s="2">
        <f t="shared" si="22"/>
        <v>-0.150920850482712</v>
      </c>
      <c r="M202" s="5">
        <f>H202/(10000+I201)</f>
        <v>6.56346511101255e-5</v>
      </c>
    </row>
    <row r="203" spans="1:13">
      <c r="A203" t="s">
        <v>31</v>
      </c>
      <c r="B203" t="s">
        <v>14</v>
      </c>
      <c r="C203">
        <v>10</v>
      </c>
      <c r="D203" s="1">
        <v>45972.4027777778</v>
      </c>
      <c r="E203">
        <v>104713.73</v>
      </c>
      <c r="F203">
        <v>102145.52</v>
      </c>
      <c r="G203" s="2">
        <v>-0.2453</v>
      </c>
      <c r="H203">
        <v>-23100</v>
      </c>
      <c r="I203">
        <f>I202+H203</f>
        <v>681508.48</v>
      </c>
      <c r="J203" s="4">
        <f t="shared" si="23"/>
        <v>1.3620328017804</v>
      </c>
      <c r="K203" s="5">
        <f>1-(10000+I203)/(MAX(I$2:I203)+10000)</f>
        <v>0.0479071024267841</v>
      </c>
      <c r="L203" s="2">
        <f t="shared" si="22"/>
        <v>-0.0245260101039281</v>
      </c>
      <c r="M203" s="5">
        <f>H203/(10000+I202)</f>
        <v>-0.0323253930599872</v>
      </c>
    </row>
    <row r="204" spans="1:13">
      <c r="A204" t="s">
        <v>31</v>
      </c>
      <c r="B204" t="s">
        <v>14</v>
      </c>
      <c r="C204">
        <v>10</v>
      </c>
      <c r="D204" s="1">
        <v>45974.1305555556</v>
      </c>
      <c r="E204">
        <v>95000</v>
      </c>
      <c r="F204">
        <v>95109.22</v>
      </c>
      <c r="G204" s="2">
        <v>0.0115</v>
      </c>
      <c r="H204">
        <v>1092</v>
      </c>
      <c r="I204">
        <f>I203+H204</f>
        <v>682600.48</v>
      </c>
      <c r="J204" s="4">
        <f t="shared" si="23"/>
        <v>1.37139096292133</v>
      </c>
      <c r="K204" s="5">
        <f>1-(10000+I204)/(MAX(I$2:I204)+10000)</f>
        <v>0.0464035988918022</v>
      </c>
      <c r="L204" s="2">
        <f t="shared" si="22"/>
        <v>0.0011496842105263</v>
      </c>
      <c r="M204" s="5">
        <f>H204/(10000+I203)</f>
        <v>0.00157915633948553</v>
      </c>
    </row>
    <row r="205" spans="1:13">
      <c r="A205" t="s">
        <v>31</v>
      </c>
      <c r="B205" t="s">
        <v>14</v>
      </c>
      <c r="C205">
        <v>10</v>
      </c>
      <c r="D205" s="1">
        <v>45974.5958333333</v>
      </c>
      <c r="E205">
        <v>103149.5</v>
      </c>
      <c r="F205">
        <v>103888</v>
      </c>
      <c r="G205" s="2">
        <v>0.0716</v>
      </c>
      <c r="H205">
        <v>2761</v>
      </c>
      <c r="I205">
        <f>I204+H205</f>
        <v>685361.48</v>
      </c>
      <c r="J205" s="4">
        <f t="shared" si="23"/>
        <v>0.554590473437675</v>
      </c>
      <c r="K205" s="5">
        <f>1-(10000+I205)/(MAX(I$2:I205)+10000)</f>
        <v>0.0426021581774386</v>
      </c>
      <c r="L205" s="2">
        <f t="shared" si="22"/>
        <v>0.00715951119491609</v>
      </c>
      <c r="M205" s="5">
        <f>H205/(10000+I204)</f>
        <v>0.00398642518988725</v>
      </c>
    </row>
    <row r="206" spans="1:13">
      <c r="A206" t="s">
        <v>52</v>
      </c>
      <c r="B206" t="s">
        <v>16</v>
      </c>
      <c r="C206">
        <v>10</v>
      </c>
      <c r="D206" s="1">
        <v>45974.9458333333</v>
      </c>
      <c r="E206">
        <v>482.72</v>
      </c>
      <c r="F206">
        <v>501.75</v>
      </c>
      <c r="G206" s="2">
        <v>-0.3942</v>
      </c>
      <c r="H206">
        <v>-4186</v>
      </c>
      <c r="I206">
        <f>I205+H206</f>
        <v>681175.48</v>
      </c>
      <c r="J206" s="4">
        <f t="shared" si="23"/>
        <v>0.153626949037202</v>
      </c>
      <c r="K206" s="5">
        <f>1-(10000+I206)/(MAX(I$2:I206)+10000)</f>
        <v>0.0483655883948693</v>
      </c>
      <c r="L206" s="2">
        <f t="shared" si="22"/>
        <v>0.0394224395094465</v>
      </c>
      <c r="M206" s="5">
        <f>H206/(10000+I205)</f>
        <v>-0.00601989054671248</v>
      </c>
    </row>
    <row r="207" spans="1:13">
      <c r="A207" t="s">
        <v>17</v>
      </c>
      <c r="B207" t="s">
        <v>14</v>
      </c>
      <c r="C207">
        <v>10</v>
      </c>
      <c r="D207" s="1">
        <v>45975.5458333333</v>
      </c>
      <c r="E207">
        <v>3158.32</v>
      </c>
      <c r="F207">
        <v>3182.66</v>
      </c>
      <c r="G207" s="2">
        <v>0.0771</v>
      </c>
      <c r="H207">
        <v>365</v>
      </c>
      <c r="I207">
        <f>I206+H207</f>
        <v>681540.48</v>
      </c>
      <c r="J207" s="4">
        <f t="shared" si="23"/>
        <v>0.0684874212392684</v>
      </c>
      <c r="K207" s="5">
        <f>1-(10000+I207)/(MAX(I$2:I207)+10000)</f>
        <v>0.0478630437151363</v>
      </c>
      <c r="L207" s="2">
        <f t="shared" si="22"/>
        <v>0.00770662884064932</v>
      </c>
      <c r="M207" s="5">
        <f>H207/(10000+I206)</f>
        <v>0.000528085863231144</v>
      </c>
    </row>
    <row r="208" spans="1:13">
      <c r="A208" t="s">
        <v>52</v>
      </c>
      <c r="B208" t="s">
        <v>16</v>
      </c>
      <c r="C208">
        <v>10</v>
      </c>
      <c r="D208" s="1">
        <v>45976.49375</v>
      </c>
      <c r="E208">
        <v>706.36</v>
      </c>
      <c r="F208">
        <v>700</v>
      </c>
      <c r="G208" s="2">
        <v>0.0901</v>
      </c>
      <c r="H208">
        <v>44.5</v>
      </c>
      <c r="I208">
        <f>I207+H208</f>
        <v>681584.98</v>
      </c>
      <c r="J208" s="4">
        <f t="shared" si="23"/>
        <v>0.00714633614821764</v>
      </c>
      <c r="K208" s="5">
        <f>1-(10000+I208)/(MAX(I$2:I208)+10000)</f>
        <v>0.0478017745692511</v>
      </c>
      <c r="L208" s="2">
        <f t="shared" si="22"/>
        <v>-0.00900390735602241</v>
      </c>
      <c r="M208" s="5">
        <f>H208/(10000+I207)</f>
        <v>6.43490891523805e-5</v>
      </c>
    </row>
  </sheetData>
  <conditionalFormatting sqref="H2:H208">
    <cfRule type="cellIs" dxfId="0" priority="1" operator="greaterThan">
      <formula>50000</formula>
    </cfRule>
  </conditionalFormatting>
  <conditionalFormatting sqref="J2:J208">
    <cfRule type="cellIs" dxfId="1" priority="2" operator="greaterThan">
      <formula>2</formula>
    </cfRule>
  </conditionalFormatting>
  <conditionalFormatting sqref="L2:L208">
    <cfRule type="cellIs" dxfId="2" priority="3" operator="lessThan">
      <formula>-0.2</formula>
    </cfRule>
    <cfRule type="cellIs" dxfId="1" priority="4" operator="greaterThan">
      <formula>0.0813056</formula>
    </cfRule>
    <cfRule type="cellIs" dxfId="3" priority="5" operator="lessThan">
      <formula>-0.2</formula>
    </cfRule>
    <cfRule type="cellIs" dxfId="0" priority="6" operator="greaterThan">
      <formula>0.2</formula>
    </cfRule>
  </conditionalFormatting>
  <conditionalFormatting sqref="M2:M208">
    <cfRule type="cellIs" dxfId="1" priority="7" operator="lessThan">
      <formula>-0.07</formula>
    </cfRule>
    <cfRule type="cellIs" dxfId="0" priority="8" operator="greaterThan">
      <formula>0.1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pippo</cp:lastModifiedBy>
  <dcterms:created xsi:type="dcterms:W3CDTF">2025-11-18T08:39:36Z</dcterms:created>
  <dcterms:modified xsi:type="dcterms:W3CDTF">2025-11-18T14:01:19Z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2052-7.3.1.8967</vt:lpwstr>
  </property>
  <property fmtid="{D5CDD505-2E9C-101B-9397-08002B2CF9AE}" pid="3" name="ICV">
    <vt:lpwstr>56F639333C6A1C377BFF1B69BED2E266_43</vt:lpwstr>
  </property>
</Properties>
</file>